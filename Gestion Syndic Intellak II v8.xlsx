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xcportal-my.sharepoint.com/personal/khalil_ferhat_dxc_com/Documents/Personal/Dev/syndic-mvp/"/>
    </mc:Choice>
  </mc:AlternateContent>
  <xr:revisionPtr revIDLastSave="316" documentId="13_ncr:1_{76DFFCF5-FCBD-4E1D-AD1B-5E82D81EB00F}" xr6:coauthVersionLast="47" xr6:coauthVersionMax="47" xr10:uidLastSave="{5053FC9A-DE24-4030-8666-9D87861F894F}"/>
  <bookViews>
    <workbookView xWindow="-120" yWindow="-120" windowWidth="29040" windowHeight="17520" tabRatio="428" activeTab="2" xr2:uid="{ADDCFCAA-6A85-4BBC-AB1A-D32CD0E54D50}"/>
  </bookViews>
  <sheets>
    <sheet name="2022" sheetId="1" r:id="rId1"/>
    <sheet name="Transfert" sheetId="7" r:id="rId2"/>
    <sheet name="2023" sheetId="2" r:id="rId3"/>
    <sheet name="Recettes" sheetId="3" r:id="rId4"/>
    <sheet name="Dépenses" sheetId="6" r:id="rId5"/>
    <sheet name="Récap 2022" sheetId="5" r:id="rId6"/>
    <sheet name="Config" sheetId="4" r:id="rId7"/>
    <sheet name="Récap 2022 (2)" sheetId="8" state="hidden" r:id="rId8"/>
  </sheets>
  <externalReferences>
    <externalReference r:id="rId9"/>
  </externalReferences>
  <definedNames>
    <definedName name="_xlnm._FilterDatabase" localSheetId="4" hidden="1">Dépenses!$B$6:$K$336</definedName>
    <definedName name="_xlnm._FilterDatabase" localSheetId="3" hidden="1">Recettes!$B$6:$J$68</definedName>
    <definedName name="Dépenses_Courantes">Config!$L$2:$L$5</definedName>
    <definedName name="Entretien_Espaces_Verts">Config!$O$2:$O$5</definedName>
    <definedName name="Journal_Types">Config!$H$2:$H$7</definedName>
    <definedName name="ModesRecette" localSheetId="7">Tableau2[Mode Recette]</definedName>
    <definedName name="ModesRecette">Tableau2[Mode Recette]</definedName>
    <definedName name="Paie___Primes___CNSS">Config!$J$2:$J$5</definedName>
    <definedName name="Téléphonie___Electricité">Config!$K$2:$K$5</definedName>
    <definedName name="Transfert">Config!$M$2:$M$5</definedName>
    <definedName name="Travaux">Config!$N$2:$N$5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8" l="1"/>
  <c r="F7" i="5"/>
  <c r="J3" i="7"/>
  <c r="F8" i="8"/>
  <c r="F8" i="5"/>
  <c r="F74" i="7"/>
  <c r="F75" i="7"/>
  <c r="F76" i="7"/>
  <c r="F77" i="7"/>
  <c r="F78" i="7"/>
  <c r="F79" i="7"/>
  <c r="F80" i="7"/>
  <c r="F81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G74" i="7"/>
  <c r="G75" i="7"/>
  <c r="G76" i="7"/>
  <c r="G77" i="7"/>
  <c r="G78" i="7"/>
  <c r="G79" i="7"/>
  <c r="G80" i="7"/>
  <c r="G81" i="7"/>
  <c r="G5" i="7"/>
  <c r="F5" i="7"/>
  <c r="K17" i="5"/>
  <c r="K18" i="5"/>
  <c r="K7" i="5"/>
  <c r="K8" i="5"/>
  <c r="K9" i="5"/>
  <c r="K10" i="5"/>
  <c r="K11" i="5"/>
  <c r="K12" i="5"/>
  <c r="K13" i="5"/>
  <c r="K14" i="5"/>
  <c r="K15" i="5"/>
  <c r="K16" i="5"/>
  <c r="F18" i="8"/>
  <c r="D18" i="8"/>
  <c r="F17" i="8"/>
  <c r="D17" i="8"/>
  <c r="F16" i="8"/>
  <c r="D16" i="8"/>
  <c r="F15" i="8"/>
  <c r="D15" i="8"/>
  <c r="F14" i="8"/>
  <c r="D14" i="8"/>
  <c r="F13" i="8"/>
  <c r="D13" i="8"/>
  <c r="F12" i="8"/>
  <c r="D12" i="8"/>
  <c r="F11" i="8"/>
  <c r="D11" i="8"/>
  <c r="F10" i="8"/>
  <c r="D10" i="8"/>
  <c r="F9" i="8"/>
  <c r="D9" i="8"/>
  <c r="D8" i="8"/>
  <c r="D7" i="8"/>
  <c r="G6" i="8"/>
  <c r="F9" i="5"/>
  <c r="F10" i="5"/>
  <c r="F11" i="5"/>
  <c r="F12" i="5"/>
  <c r="F13" i="5"/>
  <c r="F14" i="5"/>
  <c r="F15" i="5"/>
  <c r="F16" i="5"/>
  <c r="F17" i="5"/>
  <c r="F18" i="5"/>
  <c r="O5" i="6"/>
  <c r="O6" i="6"/>
  <c r="K5" i="6"/>
  <c r="J5" i="3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7" i="6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21" i="3"/>
  <c r="D169" i="1"/>
  <c r="D160" i="1"/>
  <c r="D161" i="1"/>
  <c r="D162" i="1"/>
  <c r="D163" i="1"/>
  <c r="D164" i="1"/>
  <c r="D165" i="1"/>
  <c r="D166" i="1"/>
  <c r="D167" i="1"/>
  <c r="D168" i="1"/>
  <c r="D159" i="1"/>
  <c r="D158" i="1"/>
  <c r="J336" i="6"/>
  <c r="J335" i="6"/>
  <c r="J334" i="6"/>
  <c r="J333" i="6"/>
  <c r="J332" i="6"/>
  <c r="J331" i="6"/>
  <c r="J330" i="6"/>
  <c r="J329" i="6"/>
  <c r="I68" i="3"/>
  <c r="J328" i="6"/>
  <c r="J327" i="6"/>
  <c r="J326" i="6"/>
  <c r="J325" i="6"/>
  <c r="J324" i="6"/>
  <c r="J323" i="6"/>
  <c r="J322" i="6"/>
  <c r="I67" i="3"/>
  <c r="I66" i="3"/>
  <c r="J321" i="6"/>
  <c r="J320" i="6"/>
  <c r="J319" i="6"/>
  <c r="I65" i="3"/>
  <c r="J318" i="6"/>
  <c r="J317" i="6"/>
  <c r="J314" i="6"/>
  <c r="J304" i="6"/>
  <c r="J305" i="6"/>
  <c r="J306" i="6"/>
  <c r="J303" i="6"/>
  <c r="J316" i="6"/>
  <c r="J315" i="6"/>
  <c r="J313" i="6"/>
  <c r="J312" i="6"/>
  <c r="J311" i="6"/>
  <c r="J310" i="6"/>
  <c r="J309" i="6"/>
  <c r="I64" i="3"/>
  <c r="I63" i="3"/>
  <c r="J308" i="6"/>
  <c r="J307" i="6"/>
  <c r="I62" i="3"/>
  <c r="J302" i="6"/>
  <c r="J301" i="6"/>
  <c r="J300" i="6"/>
  <c r="J299" i="6"/>
  <c r="J298" i="6"/>
  <c r="J297" i="6"/>
  <c r="J296" i="6"/>
  <c r="J295" i="6"/>
  <c r="J294" i="6"/>
  <c r="J274" i="6"/>
  <c r="J273" i="6"/>
  <c r="J263" i="6"/>
  <c r="J293" i="6"/>
  <c r="J292" i="6"/>
  <c r="I61" i="3"/>
  <c r="I60" i="3"/>
  <c r="I56" i="3"/>
  <c r="I59" i="3"/>
  <c r="J291" i="6"/>
  <c r="J290" i="6"/>
  <c r="J289" i="6"/>
  <c r="J288" i="6"/>
  <c r="J287" i="6"/>
  <c r="J286" i="6"/>
  <c r="J285" i="6"/>
  <c r="J284" i="6"/>
  <c r="J283" i="6"/>
  <c r="J282" i="6"/>
  <c r="J281" i="6"/>
  <c r="J280" i="6"/>
  <c r="I58" i="3"/>
  <c r="J279" i="6"/>
  <c r="J278" i="6"/>
  <c r="J277" i="6"/>
  <c r="J276" i="6"/>
  <c r="J275" i="6"/>
  <c r="J272" i="6"/>
  <c r="J271" i="6"/>
  <c r="J270" i="6"/>
  <c r="J269" i="6"/>
  <c r="J268" i="6"/>
  <c r="J267" i="6"/>
  <c r="J266" i="6"/>
  <c r="J265" i="6"/>
  <c r="J264" i="6"/>
  <c r="J262" i="6"/>
  <c r="J261" i="6"/>
  <c r="J260" i="6"/>
  <c r="J259" i="6"/>
  <c r="J258" i="6"/>
  <c r="J257" i="6"/>
  <c r="J256" i="6"/>
  <c r="J255" i="6"/>
  <c r="J254" i="6"/>
  <c r="J253" i="6"/>
  <c r="J252" i="6"/>
  <c r="J251" i="6"/>
  <c r="J250" i="6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I57" i="3"/>
  <c r="I55" i="3"/>
  <c r="I54" i="3"/>
  <c r="I53" i="3"/>
  <c r="I52" i="3"/>
  <c r="I51" i="3"/>
  <c r="I50" i="3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7" i="5" s="1"/>
  <c r="J19" i="6"/>
  <c r="J18" i="6"/>
  <c r="J17" i="6"/>
  <c r="J16" i="6"/>
  <c r="J11" i="5" s="1"/>
  <c r="J15" i="6"/>
  <c r="J14" i="6"/>
  <c r="I45" i="3"/>
  <c r="I49" i="3"/>
  <c r="I48" i="3"/>
  <c r="I47" i="3"/>
  <c r="I46" i="3"/>
  <c r="I19" i="3"/>
  <c r="I20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18" i="3"/>
  <c r="I17" i="3"/>
  <c r="I16" i="3"/>
  <c r="I15" i="3"/>
  <c r="I14" i="3"/>
  <c r="I13" i="3"/>
  <c r="I12" i="3"/>
  <c r="I11" i="3"/>
  <c r="I10" i="3"/>
  <c r="I9" i="3"/>
  <c r="I8" i="3"/>
  <c r="I7" i="3"/>
  <c r="C26" i="2"/>
  <c r="D26" i="2"/>
  <c r="E26" i="2"/>
  <c r="F26" i="2"/>
  <c r="G26" i="2"/>
  <c r="H26" i="2"/>
  <c r="I26" i="2"/>
  <c r="J26" i="2"/>
  <c r="K26" i="2"/>
  <c r="L26" i="2"/>
  <c r="M26" i="2"/>
  <c r="N26" i="2"/>
  <c r="M148" i="2"/>
  <c r="L148" i="2"/>
  <c r="K148" i="2"/>
  <c r="J148" i="2"/>
  <c r="I148" i="2"/>
  <c r="H148" i="2"/>
  <c r="G148" i="2"/>
  <c r="F148" i="2"/>
  <c r="E148" i="2"/>
  <c r="D148" i="2"/>
  <c r="C148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N75" i="2"/>
  <c r="M75" i="2"/>
  <c r="L75" i="2"/>
  <c r="K75" i="2"/>
  <c r="J75" i="2"/>
  <c r="I75" i="2"/>
  <c r="H75" i="2"/>
  <c r="G75" i="2"/>
  <c r="F75" i="2"/>
  <c r="E75" i="2"/>
  <c r="D75" i="2"/>
  <c r="C75" i="2"/>
  <c r="N49" i="2"/>
  <c r="M49" i="2"/>
  <c r="L49" i="2"/>
  <c r="K49" i="2"/>
  <c r="J49" i="2"/>
  <c r="I49" i="2"/>
  <c r="H49" i="2"/>
  <c r="G49" i="2"/>
  <c r="F49" i="2"/>
  <c r="E49" i="2"/>
  <c r="D49" i="2"/>
  <c r="C49" i="2"/>
  <c r="P147" i="2"/>
  <c r="P145" i="2"/>
  <c r="P143" i="2"/>
  <c r="P142" i="2"/>
  <c r="P138" i="2"/>
  <c r="P137" i="2"/>
  <c r="P136" i="2"/>
  <c r="P132" i="2"/>
  <c r="P131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6" i="2"/>
  <c r="P85" i="2"/>
  <c r="P84" i="2"/>
  <c r="P83" i="2"/>
  <c r="P82" i="2"/>
  <c r="P81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O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26" i="2" s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33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10" i="1"/>
  <c r="P84" i="1"/>
  <c r="P85" i="1"/>
  <c r="P86" i="1"/>
  <c r="P87" i="1"/>
  <c r="P88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83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58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34" i="1"/>
  <c r="O2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8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N77" i="1"/>
  <c r="M77" i="1"/>
  <c r="L77" i="1"/>
  <c r="K77" i="1"/>
  <c r="J77" i="1"/>
  <c r="I77" i="1"/>
  <c r="H77" i="1"/>
  <c r="G77" i="1"/>
  <c r="F77" i="1"/>
  <c r="E77" i="1"/>
  <c r="D77" i="1"/>
  <c r="C77" i="1"/>
  <c r="N51" i="1"/>
  <c r="M51" i="1"/>
  <c r="L51" i="1"/>
  <c r="K51" i="1"/>
  <c r="J51" i="1"/>
  <c r="I51" i="1"/>
  <c r="H51" i="1"/>
  <c r="G51" i="1"/>
  <c r="F51" i="1"/>
  <c r="E51" i="1"/>
  <c r="D51" i="1"/>
  <c r="C51" i="1"/>
  <c r="P150" i="1"/>
  <c r="P127" i="1"/>
  <c r="P104" i="1"/>
  <c r="P77" i="1"/>
  <c r="P51" i="1"/>
  <c r="D28" i="1"/>
  <c r="E28" i="1"/>
  <c r="F28" i="1"/>
  <c r="G28" i="1"/>
  <c r="H28" i="1"/>
  <c r="I28" i="1"/>
  <c r="J28" i="1"/>
  <c r="K28" i="1"/>
  <c r="L28" i="1"/>
  <c r="M28" i="1"/>
  <c r="N28" i="1"/>
  <c r="C28" i="1"/>
  <c r="P28" i="1"/>
  <c r="J12" i="6"/>
  <c r="J11" i="6"/>
  <c r="J10" i="6"/>
  <c r="J9" i="6"/>
  <c r="I18" i="5" s="1"/>
  <c r="J8" i="6"/>
  <c r="J7" i="6"/>
  <c r="G6" i="5"/>
  <c r="C8" i="5" l="1"/>
  <c r="F2" i="8"/>
  <c r="E8" i="5"/>
  <c r="C8" i="8"/>
  <c r="E7" i="8"/>
  <c r="C7" i="8"/>
  <c r="E7" i="5"/>
  <c r="C7" i="5"/>
  <c r="F2" i="5"/>
  <c r="E8" i="8"/>
  <c r="E14" i="5"/>
  <c r="E15" i="5"/>
  <c r="E13" i="8"/>
  <c r="E10" i="5"/>
  <c r="E18" i="8"/>
  <c r="C16" i="5"/>
  <c r="C12" i="5"/>
  <c r="C15" i="5"/>
  <c r="C11" i="5"/>
  <c r="D19" i="8"/>
  <c r="E18" i="5"/>
  <c r="C18" i="5"/>
  <c r="C14" i="5"/>
  <c r="C10" i="5"/>
  <c r="E13" i="5"/>
  <c r="E9" i="5"/>
  <c r="C9" i="8"/>
  <c r="C10" i="8"/>
  <c r="C11" i="8"/>
  <c r="C12" i="8"/>
  <c r="C13" i="8"/>
  <c r="C14" i="8"/>
  <c r="C15" i="8"/>
  <c r="C16" i="8"/>
  <c r="C17" i="8"/>
  <c r="C18" i="8"/>
  <c r="C17" i="5"/>
  <c r="C13" i="5"/>
  <c r="C9" i="5"/>
  <c r="E16" i="5"/>
  <c r="E12" i="5"/>
  <c r="E17" i="5"/>
  <c r="E11" i="5"/>
  <c r="E9" i="8"/>
  <c r="E10" i="8"/>
  <c r="E11" i="8"/>
  <c r="E12" i="8"/>
  <c r="E14" i="8"/>
  <c r="E15" i="8"/>
  <c r="E16" i="8"/>
  <c r="E17" i="8"/>
  <c r="J13" i="5"/>
  <c r="J9" i="5"/>
  <c r="J16" i="5"/>
  <c r="J15" i="5"/>
  <c r="J18" i="5"/>
  <c r="J14" i="5"/>
  <c r="J10" i="5"/>
  <c r="I8" i="5"/>
  <c r="J17" i="5"/>
  <c r="J12" i="5"/>
  <c r="J8" i="5"/>
  <c r="I15" i="5"/>
  <c r="I14" i="5"/>
  <c r="I10" i="5"/>
  <c r="I17" i="5"/>
  <c r="I13" i="5"/>
  <c r="I9" i="5"/>
  <c r="I7" i="5"/>
  <c r="I11" i="5"/>
  <c r="L18" i="8"/>
  <c r="J16" i="8"/>
  <c r="I16" i="5"/>
  <c r="I12" i="5"/>
  <c r="V15" i="8"/>
  <c r="K17" i="8"/>
  <c r="M10" i="8"/>
  <c r="U18" i="8"/>
  <c r="W16" i="8"/>
  <c r="J7" i="8"/>
  <c r="R7" i="8"/>
  <c r="S8" i="8"/>
  <c r="T13" i="8"/>
  <c r="Q14" i="8"/>
  <c r="K16" i="8"/>
  <c r="O16" i="8"/>
  <c r="L17" i="8"/>
  <c r="P17" i="8"/>
  <c r="T17" i="8"/>
  <c r="I18" i="8"/>
  <c r="M18" i="8"/>
  <c r="Q18" i="8"/>
  <c r="K7" i="8"/>
  <c r="O7" i="8"/>
  <c r="S7" i="8"/>
  <c r="W7" i="8"/>
  <c r="L8" i="8"/>
  <c r="P8" i="8"/>
  <c r="T8" i="8"/>
  <c r="I9" i="8"/>
  <c r="M9" i="8"/>
  <c r="Q9" i="8"/>
  <c r="U9" i="8"/>
  <c r="J10" i="8"/>
  <c r="N10" i="8"/>
  <c r="R10" i="8"/>
  <c r="V10" i="8"/>
  <c r="K11" i="8"/>
  <c r="O11" i="8"/>
  <c r="S11" i="8"/>
  <c r="W11" i="8"/>
  <c r="L12" i="8"/>
  <c r="P12" i="8"/>
  <c r="T12" i="8"/>
  <c r="I13" i="8"/>
  <c r="M13" i="8"/>
  <c r="Q13" i="8"/>
  <c r="U13" i="8"/>
  <c r="J14" i="8"/>
  <c r="N14" i="8"/>
  <c r="R14" i="8"/>
  <c r="V14" i="8"/>
  <c r="K15" i="8"/>
  <c r="O15" i="8"/>
  <c r="S15" i="8"/>
  <c r="W15" i="8"/>
  <c r="L16" i="8"/>
  <c r="P16" i="8"/>
  <c r="T16" i="8"/>
  <c r="I17" i="8"/>
  <c r="M17" i="8"/>
  <c r="Q17" i="8"/>
  <c r="U17" i="8"/>
  <c r="J18" i="8"/>
  <c r="N18" i="8"/>
  <c r="R18" i="8"/>
  <c r="V18" i="8"/>
  <c r="N7" i="8"/>
  <c r="V7" i="8"/>
  <c r="O8" i="8"/>
  <c r="W8" i="8"/>
  <c r="L9" i="8"/>
  <c r="T9" i="8"/>
  <c r="I10" i="8"/>
  <c r="Q10" i="8"/>
  <c r="J11" i="8"/>
  <c r="R11" i="8"/>
  <c r="V11" i="8"/>
  <c r="O12" i="8"/>
  <c r="W12" i="8"/>
  <c r="P13" i="8"/>
  <c r="M14" i="8"/>
  <c r="J15" i="8"/>
  <c r="R15" i="8"/>
  <c r="S16" i="8"/>
  <c r="L7" i="8"/>
  <c r="P7" i="8"/>
  <c r="T7" i="8"/>
  <c r="I8" i="8"/>
  <c r="M8" i="8"/>
  <c r="Q8" i="8"/>
  <c r="U8" i="8"/>
  <c r="J9" i="8"/>
  <c r="N9" i="8"/>
  <c r="R9" i="8"/>
  <c r="V9" i="8"/>
  <c r="K10" i="8"/>
  <c r="O10" i="8"/>
  <c r="S10" i="8"/>
  <c r="W10" i="8"/>
  <c r="L11" i="8"/>
  <c r="P11" i="8"/>
  <c r="T11" i="8"/>
  <c r="I12" i="8"/>
  <c r="M12" i="8"/>
  <c r="Q12" i="8"/>
  <c r="U12" i="8"/>
  <c r="J13" i="8"/>
  <c r="N13" i="8"/>
  <c r="R13" i="8"/>
  <c r="V13" i="8"/>
  <c r="K14" i="8"/>
  <c r="O14" i="8"/>
  <c r="S14" i="8"/>
  <c r="W14" i="8"/>
  <c r="L15" i="8"/>
  <c r="P15" i="8"/>
  <c r="T15" i="8"/>
  <c r="I16" i="8"/>
  <c r="M16" i="8"/>
  <c r="Q16" i="8"/>
  <c r="U16" i="8"/>
  <c r="J17" i="8"/>
  <c r="N17" i="8"/>
  <c r="R17" i="8"/>
  <c r="V17" i="8"/>
  <c r="K18" i="8"/>
  <c r="O18" i="8"/>
  <c r="S18" i="8"/>
  <c r="W18" i="8"/>
  <c r="K8" i="8"/>
  <c r="P9" i="8"/>
  <c r="U10" i="8"/>
  <c r="N11" i="8"/>
  <c r="K12" i="8"/>
  <c r="S12" i="8"/>
  <c r="L13" i="8"/>
  <c r="I14" i="8"/>
  <c r="U14" i="8"/>
  <c r="N15" i="8"/>
  <c r="I7" i="8"/>
  <c r="M7" i="8"/>
  <c r="Q7" i="8"/>
  <c r="U7" i="8"/>
  <c r="J8" i="8"/>
  <c r="N8" i="8"/>
  <c r="R8" i="8"/>
  <c r="V8" i="8"/>
  <c r="K9" i="8"/>
  <c r="O9" i="8"/>
  <c r="S9" i="8"/>
  <c r="W9" i="8"/>
  <c r="L10" i="8"/>
  <c r="P10" i="8"/>
  <c r="T10" i="8"/>
  <c r="I11" i="8"/>
  <c r="M11" i="8"/>
  <c r="Q11" i="8"/>
  <c r="U11" i="8"/>
  <c r="J12" i="8"/>
  <c r="N12" i="8"/>
  <c r="R12" i="8"/>
  <c r="V12" i="8"/>
  <c r="K13" i="8"/>
  <c r="O13" i="8"/>
  <c r="S13" i="8"/>
  <c r="W13" i="8"/>
  <c r="L14" i="8"/>
  <c r="P14" i="8"/>
  <c r="T14" i="8"/>
  <c r="I15" i="8"/>
  <c r="M15" i="8"/>
  <c r="Q15" i="8"/>
  <c r="U15" i="8"/>
  <c r="N16" i="8"/>
  <c r="R16" i="8"/>
  <c r="V16" i="8"/>
  <c r="O17" i="8"/>
  <c r="S17" i="8"/>
  <c r="W17" i="8"/>
  <c r="P18" i="8"/>
  <c r="T18" i="8"/>
  <c r="F19" i="8"/>
  <c r="F19" i="5"/>
  <c r="D12" i="5"/>
  <c r="D13" i="5"/>
  <c r="D9" i="5"/>
  <c r="D8" i="5"/>
  <c r="D15" i="5"/>
  <c r="D11" i="5"/>
  <c r="D18" i="5"/>
  <c r="D14" i="5"/>
  <c r="D10" i="5"/>
  <c r="D17" i="5"/>
  <c r="D7" i="5"/>
  <c r="D16" i="5"/>
  <c r="O2" i="6"/>
  <c r="N5" i="3"/>
  <c r="P5" i="3"/>
  <c r="O4" i="6"/>
  <c r="P125" i="2"/>
  <c r="P102" i="2"/>
  <c r="P49" i="2"/>
  <c r="P75" i="2"/>
  <c r="P148" i="2"/>
  <c r="G19" i="8" l="1"/>
  <c r="G20" i="8" s="1"/>
  <c r="E19" i="5"/>
  <c r="C19" i="5"/>
  <c r="C19" i="8"/>
  <c r="E19" i="8"/>
  <c r="I19" i="8"/>
  <c r="X11" i="8"/>
  <c r="U19" i="8"/>
  <c r="X8" i="8"/>
  <c r="V19" i="8"/>
  <c r="S19" i="8"/>
  <c r="Q19" i="8"/>
  <c r="X12" i="8"/>
  <c r="T19" i="8"/>
  <c r="N19" i="8"/>
  <c r="X17" i="8"/>
  <c r="O19" i="8"/>
  <c r="X18" i="8"/>
  <c r="X13" i="8"/>
  <c r="X15" i="8"/>
  <c r="M19" i="8"/>
  <c r="X14" i="8"/>
  <c r="X16" i="8"/>
  <c r="P19" i="8"/>
  <c r="K19" i="8"/>
  <c r="R19" i="8"/>
  <c r="X7" i="8"/>
  <c r="L19" i="8"/>
  <c r="X10" i="8"/>
  <c r="X9" i="8"/>
  <c r="W19" i="8"/>
  <c r="J19" i="8"/>
  <c r="L12" i="5"/>
  <c r="L10" i="5"/>
  <c r="L18" i="5"/>
  <c r="L8" i="5"/>
  <c r="L9" i="5"/>
  <c r="L16" i="5"/>
  <c r="L11" i="5"/>
  <c r="L14" i="5"/>
  <c r="L15" i="5"/>
  <c r="L7" i="5"/>
  <c r="L17" i="5"/>
  <c r="L13" i="5"/>
  <c r="J19" i="5"/>
  <c r="K19" i="5"/>
  <c r="I19" i="5"/>
  <c r="D19" i="5"/>
  <c r="N4" i="3"/>
  <c r="N2" i="3"/>
  <c r="X19" i="8" l="1"/>
  <c r="X20" i="8" s="1"/>
  <c r="X21" i="8" s="1"/>
  <c r="G19" i="5"/>
  <c r="G20" i="5" s="1"/>
  <c r="L19" i="5"/>
  <c r="L20" i="5" s="1"/>
  <c r="L21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Syndic Intellak II</author>
  </authors>
  <commentList>
    <comment ref="D8" authorId="0" shapeId="0" xr:uid="{B5BCF42F-087F-406E-ACC0-DD35A5A0BE6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cotisations : 12/2021 &amp; 01/2022</t>
        </r>
      </text>
    </comment>
    <comment ref="E8" authorId="0" shapeId="0" xr:uid="{C430193D-2079-40C7-82E0-323EFB525091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cotisations: 02&amp; 03/2022</t>
        </r>
      </text>
    </comment>
    <comment ref="G8" authorId="0" shapeId="0" xr:uid="{966468AC-C89B-46D9-9106-6AB78C51D9A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 : 04;05 &amp; 06/2022</t>
        </r>
      </text>
    </comment>
    <comment ref="I8" authorId="0" shapeId="0" xr:uid="{DFB33015-812C-46B8-93C7-2A29E2EABF6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 : 07;08 &amp; 09/2022</t>
        </r>
      </text>
    </comment>
    <comment ref="M8" authorId="0" shapeId="0" xr:uid="{9AF3E585-8EBC-4FAB-BC07-70B796B2ADC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10 &amp; 11/2022</t>
        </r>
      </text>
    </comment>
    <comment ref="N8" authorId="0" shapeId="0" xr:uid="{A46C911E-B6B2-482A-846C-9B6619E10829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12/2022 &amp; 01/2023</t>
        </r>
      </text>
    </comment>
    <comment ref="E9" authorId="0" shapeId="0" xr:uid="{02CE56E3-91CE-48E6-BF3B-B30A3081ECB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cotisations : 11&amp;12/2021
et 01 &amp; 02/2022</t>
        </r>
      </text>
    </comment>
    <comment ref="F9" authorId="0" shapeId="0" xr:uid="{615D46DC-E9FE-4D83-B584-67A0B72EB230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cotisation : 03/2022</t>
        </r>
      </text>
    </comment>
    <comment ref="I9" authorId="0" shapeId="0" xr:uid="{DFBD6EC1-51E8-4EC0-AF24-9E051D57E310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mois : 06 &amp; 07/2022
</t>
        </r>
      </text>
    </comment>
    <comment ref="L9" authorId="0" shapeId="0" xr:uid="{AF0735D2-B146-4596-A606-7F921070503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08 &amp; 09/2022</t>
        </r>
      </text>
    </comment>
    <comment ref="N9" authorId="0" shapeId="0" xr:uid="{FB072E62-EE14-45D4-A202-79EFDFC8BE4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10 &amp; 11/2022 &amp; 12/2022</t>
        </r>
      </text>
    </comment>
    <comment ref="I10" authorId="0" shapeId="0" xr:uid="{2765854C-DFDC-4274-936D-490C04D36DB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cotis: mois 05 à 12/2021
01 à 04/2022 et 05 à 07/2022
1000+500+500dh</t>
        </r>
      </text>
    </comment>
    <comment ref="D11" authorId="0" shapeId="0" xr:uid="{916CE8E7-CF34-4EED-8453-838831B1FB80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cotisation : 01/2022</t>
        </r>
      </text>
    </comment>
    <comment ref="E11" authorId="0" shapeId="0" xr:uid="{F771C80B-A26E-4DD4-9EA2-96B7CD0D3D9A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cotisation : 02/2022</t>
        </r>
      </text>
    </comment>
    <comment ref="F11" authorId="0" shapeId="0" xr:uid="{74D34584-12F1-4CD2-95B6-9D18417EAE11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cotisation : 03/2022</t>
        </r>
      </text>
    </comment>
    <comment ref="G11" authorId="0" shapeId="0" xr:uid="{ED124D4E-0649-4828-89FE-FFAB51625E7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 : 04/2022
et 05/2022</t>
        </r>
      </text>
    </comment>
    <comment ref="L11" authorId="0" shapeId="0" xr:uid="{83420026-4151-48C9-9AAF-9BB99C0B7A0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09/2022 &amp; 10/2022</t>
        </r>
      </text>
    </comment>
    <comment ref="N11" authorId="0" shapeId="0" xr:uid="{12D3C310-22E3-4AD3-A4E8-E7D058028F0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11/2022 &amp; 12/2022</t>
        </r>
      </text>
    </comment>
    <comment ref="E12" authorId="0" shapeId="0" xr:uid="{D1BD0E1A-4037-4667-8D9A-AA7F68A8950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cotisations :12/2021
et 01/2022</t>
        </r>
      </text>
    </comment>
    <comment ref="F12" authorId="0" shapeId="0" xr:uid="{F073C098-0CE7-4AF9-B3F8-B2B95644BE0A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 : 02 &amp; 03/2022</t>
        </r>
      </text>
    </comment>
    <comment ref="H12" authorId="0" shapeId="0" xr:uid="{3BADD183-C05E-44B3-BD1A-6E2885F4651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 : 04 &amp; 05/2022</t>
        </r>
      </text>
    </comment>
    <comment ref="K12" authorId="0" shapeId="0" xr:uid="{211CBF3F-1E21-4BE0-9859-F1DDE9555EF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06/2022</t>
        </r>
      </text>
    </comment>
    <comment ref="L12" authorId="0" shapeId="0" xr:uid="{DCA1FE17-5C0F-4C37-ACC8-0D07D671476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07 &amp; 08/2022</t>
        </r>
      </text>
    </comment>
    <comment ref="M12" authorId="0" shapeId="0" xr:uid="{F157FD5D-3E5F-45D1-906E-1F84071A438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09/2022</t>
        </r>
      </text>
    </comment>
    <comment ref="N12" authorId="0" shapeId="0" xr:uid="{D8387AC4-498C-4515-97F9-2BC2CB3118F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10 &amp; 11/2022</t>
        </r>
      </text>
    </comment>
    <comment ref="C14" authorId="0" shapeId="0" xr:uid="{93C12CDA-2E34-4FAB-BC28-83F6127B9D80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cotisation: 12/2021</t>
        </r>
      </text>
    </comment>
    <comment ref="D14" authorId="0" shapeId="0" xr:uid="{DC5BAE81-51C1-4732-AE96-1EB3B32BBCA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cotisation : 01/2022</t>
        </r>
      </text>
    </comment>
    <comment ref="E14" authorId="0" shapeId="0" xr:uid="{3794A232-20A8-4206-BB1F-085BF2BC2D5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cotisation : 02/2022</t>
        </r>
      </text>
    </comment>
    <comment ref="G14" authorId="0" shapeId="0" xr:uid="{7DF19ED7-CA1F-4F85-AAF2-50494943972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 : 03 &amp; 04/2022</t>
        </r>
      </text>
    </comment>
    <comment ref="H14" authorId="0" shapeId="0" xr:uid="{D138E561-1264-4A04-B6FD-E8F0765A43CA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 : 05/2022</t>
        </r>
      </text>
    </comment>
    <comment ref="I14" authorId="0" shapeId="0" xr:uid="{27C29F7B-C664-46B7-9A5F-C3382CA7D461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 : 06/2022</t>
        </r>
      </text>
    </comment>
    <comment ref="K14" authorId="0" shapeId="0" xr:uid="{2342C761-24BB-4BA2-A8A8-0D5CC1DC2A1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07 &amp; 08/2022</t>
        </r>
      </text>
    </comment>
    <comment ref="L14" authorId="0" shapeId="0" xr:uid="{D3E6582F-F2F7-45EA-B95F-1D2AA2C9F331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09/2022</t>
        </r>
      </text>
    </comment>
    <comment ref="M14" authorId="0" shapeId="0" xr:uid="{A3CE1645-B8D0-4C5C-9FB8-AECCB8CA585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10/2022</t>
        </r>
      </text>
    </comment>
    <comment ref="F15" authorId="0" shapeId="0" xr:uid="{4FC393C1-D47D-4DBC-A380-73703910652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cotisations:
 02 &amp; 03/2022</t>
        </r>
      </text>
    </comment>
    <comment ref="G15" authorId="0" shapeId="0" xr:uid="{A7350A95-1F73-42B5-852A-A4CA3D84854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 : 04/2022
et 05/2022</t>
        </r>
      </text>
    </comment>
    <comment ref="J15" authorId="0" shapeId="0" xr:uid="{11EF61A1-ED37-4D61-83D5-6F0ADB217741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072022</t>
        </r>
      </text>
    </comment>
    <comment ref="K15" authorId="0" shapeId="0" xr:uid="{DE278913-8DF5-4F4F-B2EE-17E2EB18B13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08/2022 &amp; 09/2022</t>
        </r>
      </text>
    </comment>
    <comment ref="M15" authorId="0" shapeId="0" xr:uid="{99A98A51-5D77-4282-A853-E1A6EBF7AB3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10/2022</t>
        </r>
      </text>
    </comment>
    <comment ref="N15" authorId="0" shapeId="0" xr:uid="{781BD950-1091-4123-9AAE-46E65CD57C5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11/2022</t>
        </r>
      </text>
    </comment>
    <comment ref="E16" authorId="0" shapeId="0" xr:uid="{5F7F1874-58B5-413C-94DE-46961E5B510E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cotisations : 02/2022
et 03/2022  </t>
        </r>
      </text>
    </comment>
    <comment ref="J16" authorId="0" shapeId="0" xr:uid="{878E2F53-5B70-4D22-9E6A-4715E542AC0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06 &amp; 07/2022</t>
        </r>
      </text>
    </comment>
    <comment ref="K16" authorId="0" shapeId="0" xr:uid="{31474806-29C9-41BD-9EEC-80A0E8968C1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08/2022</t>
        </r>
      </text>
    </comment>
    <comment ref="L16" authorId="0" shapeId="0" xr:uid="{79097E19-020C-49E8-99D6-67B6887020FE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09/2022</t>
        </r>
      </text>
    </comment>
    <comment ref="D17" authorId="0" shapeId="0" xr:uid="{4C6E71D8-0062-4115-8E42-5E6EBB655E7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cotisation: 01/2022</t>
        </r>
      </text>
    </comment>
    <comment ref="E17" authorId="0" shapeId="0" xr:uid="{683E33A3-E98E-4BDF-8AAD-50C8673D62A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cotisations: 02 &amp;03/2022</t>
        </r>
      </text>
    </comment>
    <comment ref="G17" authorId="0" shapeId="0" xr:uid="{FB762779-B038-45CB-AEE1-7435124B898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 : 04/2022</t>
        </r>
      </text>
    </comment>
    <comment ref="I17" authorId="0" shapeId="0" xr:uid="{9AA563B6-0115-4C51-8262-9F54A092C3B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 : 05 &amp; 06/2022</t>
        </r>
      </text>
    </comment>
    <comment ref="J17" authorId="0" shapeId="0" xr:uid="{5A5DB879-DDE3-41E0-A38A-1DAC5195B04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07/2022</t>
        </r>
      </text>
    </comment>
    <comment ref="K17" authorId="0" shapeId="0" xr:uid="{DDB7D6B0-36D1-442E-B0E2-B6FDDBDF0910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08/2022</t>
        </r>
      </text>
    </comment>
    <comment ref="L17" authorId="0" shapeId="0" xr:uid="{C3FBC6B8-518D-4B16-AE72-C626C3E7B461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09/2022</t>
        </r>
      </text>
    </comment>
    <comment ref="M17" authorId="0" shapeId="0" xr:uid="{0E1F4881-59BB-44F0-81FD-AB13ECB431C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10/2022</t>
        </r>
      </text>
    </comment>
    <comment ref="N17" authorId="0" shapeId="0" xr:uid="{CFB1A082-1AAE-4AF2-A2F4-C349683DBF0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11/2022</t>
        </r>
      </text>
    </comment>
    <comment ref="H18" authorId="0" shapeId="0" xr:uid="{5398EC38-EE62-422D-A23F-F1473218B847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 : 2ième semestre 2022</t>
        </r>
      </text>
    </comment>
    <comment ref="M18" authorId="0" shapeId="0" xr:uid="{A0424162-9325-4779-B23D-2BF189785BF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 à 11/2023</t>
        </r>
      </text>
    </comment>
    <comment ref="F19" authorId="0" shapeId="0" xr:uid="{BDDA2EAF-7170-44D3-AA28-CFA323B79581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cotisations : 
1er semestre 2022</t>
        </r>
      </text>
    </comment>
    <comment ref="K19" authorId="0" shapeId="0" xr:uid="{0E428220-7038-4968-B165-DDEE1DB06AA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2ième semstre 2022</t>
        </r>
      </text>
    </comment>
    <comment ref="C20" authorId="0" shapeId="0" xr:uid="{2B317C69-3F46-481D-BFD0-80617C6105F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cotisations: 01&amp; 02/2022</t>
        </r>
      </text>
    </comment>
    <comment ref="E20" authorId="0" shapeId="0" xr:uid="{731D6CA9-10B9-46E1-BFC8-ACFF0EE8C26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cotisations : 03&amp;04/2022</t>
        </r>
      </text>
    </comment>
    <comment ref="F20" authorId="0" shapeId="0" xr:uid="{70757590-160F-4350-8E62-29AEBB39AE9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cotisations : 05&amp;06/2022</t>
        </r>
      </text>
    </comment>
    <comment ref="H20" authorId="0" shapeId="0" xr:uid="{E716AA6D-5A39-4DA6-8750-796F99D9BBE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 : 07 &amp; 08/2022</t>
        </r>
      </text>
    </comment>
    <comment ref="L20" authorId="0" shapeId="0" xr:uid="{059EA8EB-2638-4BB6-BEEF-B02FB5A230D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10 &amp; 11/2022</t>
        </r>
      </text>
    </comment>
    <comment ref="N20" authorId="0" shapeId="0" xr:uid="{22362FCA-81FE-4154-A6A1-37F74E02E3B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12/2022 &amp; 01/2023</t>
        </r>
      </text>
    </comment>
    <comment ref="D22" authorId="0" shapeId="0" xr:uid="{4E336911-BE8F-41A3-AF59-FAAC60DA339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cotisation 01/2022</t>
        </r>
      </text>
    </comment>
    <comment ref="E22" authorId="0" shapeId="0" xr:uid="{9755A844-D459-458D-BC4F-8834EDF410E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cotisation : 02/2022</t>
        </r>
      </text>
    </comment>
    <comment ref="F22" authorId="0" shapeId="0" xr:uid="{8C89426B-7975-4329-ABC2-9E2D68F1252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 : 03/2022</t>
        </r>
      </text>
    </comment>
    <comment ref="G22" authorId="0" shapeId="0" xr:uid="{57645C41-E6DB-4A8A-830E-B7EFDAE0781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 : 04/2022</t>
        </r>
      </text>
    </comment>
    <comment ref="H22" authorId="0" shapeId="0" xr:uid="{604146FC-D3DA-4D5B-AFE7-114D52262267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 : 05/2022</t>
        </r>
      </text>
    </comment>
    <comment ref="I22" authorId="0" shapeId="0" xr:uid="{CBB7AC16-4AE3-4ED2-A58E-F768C180EA2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 : 06/2022</t>
        </r>
      </text>
    </comment>
    <comment ref="J22" authorId="0" shapeId="0" xr:uid="{EBFE6073-2A0C-4BB7-9553-4C3C8D968031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07/2022</t>
        </r>
      </text>
    </comment>
    <comment ref="K22" authorId="0" shapeId="0" xr:uid="{AB20D29C-9058-4E96-B189-F0111BF7EFE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08/2022</t>
        </r>
      </text>
    </comment>
    <comment ref="L22" authorId="0" shapeId="0" xr:uid="{35EDB03C-4627-4AEF-BDFA-E280BACDF0E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09/2022 &amp; 10/2022</t>
        </r>
      </text>
    </comment>
    <comment ref="N22" authorId="0" shapeId="0" xr:uid="{BA77CDA8-F1E1-4795-9A54-3EE382BC073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11/2022</t>
        </r>
      </text>
    </comment>
    <comment ref="F23" authorId="0" shapeId="0" xr:uid="{77B385BE-F57D-411C-AD06-879456C1D1E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 : 03/2022</t>
        </r>
      </text>
    </comment>
    <comment ref="G23" authorId="0" shapeId="0" xr:uid="{EE6433E2-A1BB-4038-85FA-D87761897DC0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 : 04/2022</t>
        </r>
      </text>
    </comment>
    <comment ref="H23" authorId="0" shapeId="0" xr:uid="{3C93F62F-FCE6-4C47-A89C-4E2194D1421A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 : 05/2022</t>
        </r>
      </text>
    </comment>
    <comment ref="I23" authorId="0" shapeId="0" xr:uid="{E090E7DB-69C9-4E68-A19E-34C81EB593C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 : 06/2022</t>
        </r>
      </text>
    </comment>
    <comment ref="L23" authorId="0" shapeId="0" xr:uid="{8D470219-7D8F-41B8-A511-183F510B067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09/2022</t>
        </r>
      </text>
    </comment>
    <comment ref="M23" authorId="0" shapeId="0" xr:uid="{22647264-D38B-4506-BF99-D9CF52D623CA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10/2022</t>
        </r>
      </text>
    </comment>
    <comment ref="N23" authorId="0" shapeId="0" xr:uid="{C72C39CD-6852-4CCF-A46F-F056692FABB9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11/2022 &amp; 12/2022</t>
        </r>
      </text>
    </comment>
    <comment ref="H25" authorId="0" shapeId="0" xr:uid="{3F4B1D80-7FD3-4375-BBDE-FFF8FCEBF057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 : Année 2022
chèq BP CRB 7085051 
du 31/05/2022</t>
        </r>
      </text>
    </comment>
    <comment ref="C26" authorId="0" shapeId="0" xr:uid="{093A5913-E6C6-4846-92D2-A669506AD4D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cotisations mois: 10;11:12/2021 &amp; 01/2022</t>
        </r>
      </text>
    </comment>
    <comment ref="L26" authorId="0" shapeId="0" xr:uid="{50659600-DF4A-4BCA-9031-AB5701B002FA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02 à 08/2022</t>
        </r>
      </text>
    </comment>
    <comment ref="C27" authorId="0" shapeId="0" xr:uid="{0256FFA0-6A68-4C70-86F4-4BF652D10B21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cotisations mois: 09;10;11 &amp; 12/2021</t>
        </r>
      </text>
    </comment>
    <comment ref="H27" authorId="0" shapeId="0" xr:uid="{98C30226-B6FB-41C8-8B86-9E68C0BA275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cotis: 1er semestre 2022</t>
        </r>
      </text>
    </comment>
    <comment ref="N27" authorId="0" shapeId="0" xr:uid="{001863A0-6285-495F-B10F-1183FAF217C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2ième semestre 2022</t>
        </r>
      </text>
    </comment>
    <comment ref="C34" authorId="0" shapeId="0" xr:uid="{ABE68F1A-A4C3-47FD-9078-E93C265CAC59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12/2021</t>
        </r>
      </text>
    </comment>
    <comment ref="D34" authorId="0" shapeId="0" xr:uid="{668B8914-512E-44A8-A89C-23B6D953C97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01/2022</t>
        </r>
      </text>
    </comment>
    <comment ref="E34" authorId="0" shapeId="0" xr:uid="{69AC14B9-5077-42B1-9DDA-0A94E1461A3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02/2022</t>
        </r>
      </text>
    </comment>
    <comment ref="F34" authorId="0" shapeId="0" xr:uid="{3444A786-8503-4FAF-974A-4B57D9AD729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03/2022</t>
        </r>
      </text>
    </comment>
    <comment ref="G34" authorId="0" shapeId="0" xr:uid="{74715DC6-4AF0-483F-B1E6-B32980425F47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04/2022</t>
        </r>
      </text>
    </comment>
    <comment ref="H34" authorId="0" shapeId="0" xr:uid="{BE305AF8-4662-4F92-ADEE-9E6609C2E8C0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05/2022</t>
        </r>
      </text>
    </comment>
    <comment ref="I34" authorId="0" shapeId="0" xr:uid="{10F59EC7-E9E2-4CA3-8F13-E80E4A339CC9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05/2022 06/2022</t>
        </r>
      </text>
    </comment>
    <comment ref="J34" authorId="0" shapeId="0" xr:uid="{A189B707-4642-4E47-A537-483226E8BF7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06 &amp; 07/2022</t>
        </r>
      </text>
    </comment>
    <comment ref="L34" authorId="0" shapeId="0" xr:uid="{AF4EF046-D2C3-4558-8A4A-E9A66EAFB7B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08 &amp; 09/2022</t>
        </r>
      </text>
    </comment>
    <comment ref="M34" authorId="0" shapeId="0" xr:uid="{D709A1A4-4FA2-45B5-AF1E-4A756326CE0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10/2022</t>
        </r>
      </text>
    </comment>
    <comment ref="N34" authorId="0" shapeId="0" xr:uid="{85AB2D32-749F-4BBE-B881-6AB7652DDB5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11/2022</t>
        </r>
      </text>
    </comment>
    <comment ref="E35" authorId="0" shapeId="0" xr:uid="{9C850BC4-9BD0-44B8-B08D-FC674483950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1er semestre 2022</t>
        </r>
      </text>
    </comment>
    <comment ref="E36" authorId="0" shapeId="0" xr:uid="{1C7A729D-6702-4D0E-94C5-2E57D67EAE37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Avril à décembre 2021</t>
        </r>
      </text>
    </comment>
    <comment ref="K36" authorId="0" shapeId="0" xr:uid="{D0C7AFD7-9D56-422A-8765-B22040D905D7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janvier à Aout 2022
barid bank SAY 3585484 du 03/09/2022</t>
        </r>
      </text>
    </comment>
    <comment ref="C37" authorId="0" shapeId="0" xr:uid="{50641592-463D-4343-B385-072D5EFDBCF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09;10;11 &amp; 12/2021</t>
        </r>
      </text>
    </comment>
    <comment ref="E37" authorId="0" shapeId="0" xr:uid="{53B60647-B29E-496F-BA8D-E72A6031CCD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 &amp;02/2022</t>
        </r>
      </text>
    </comment>
    <comment ref="G37" authorId="0" shapeId="0" xr:uid="{3D413869-6D40-4780-9D40-642454396EA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 &amp; 04/2022</t>
        </r>
      </text>
    </comment>
    <comment ref="I37" authorId="0" shapeId="0" xr:uid="{0F7BCFF2-6035-4D34-8E60-F62B01A4318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05 &amp; 06/2022
</t>
        </r>
      </text>
    </comment>
    <comment ref="J37" authorId="0" shapeId="0" xr:uid="{4B893242-9A94-4693-AAE3-36050CFB991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07/2022</t>
        </r>
      </text>
    </comment>
    <comment ref="K37" authorId="0" shapeId="0" xr:uid="{F47A7351-7BB8-4AAF-A109-49B964184C8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08/2022</t>
        </r>
      </text>
    </comment>
    <comment ref="L37" authorId="0" shapeId="0" xr:uid="{9E1CA72F-752D-4A8A-995A-C2633654D099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09 &amp; 10/2022</t>
        </r>
      </text>
    </comment>
    <comment ref="C38" authorId="0" shapeId="0" xr:uid="{1C704869-8264-4679-8F3D-5F63007291C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12/2021 &amp; 01/2022</t>
        </r>
      </text>
    </comment>
    <comment ref="E38" authorId="0" shapeId="0" xr:uid="{3044DA55-68BB-48E3-ABDA-FD50AE51283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02/2022</t>
        </r>
      </text>
    </comment>
    <comment ref="F38" authorId="0" shapeId="0" xr:uid="{CC2D58CC-4B64-465E-AE41-B1EC789D935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03/2022 &amp; 04/2022</t>
        </r>
      </text>
    </comment>
    <comment ref="J38" authorId="0" shapeId="0" xr:uid="{36ADF577-D3C2-4374-AF9B-5A58EF14DB47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07/2022 &amp; 08/2022</t>
        </r>
      </text>
    </comment>
    <comment ref="M38" authorId="0" shapeId="0" xr:uid="{01B282F3-1AD3-4614-B181-2C3102AFCCAA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10/2022</t>
        </r>
      </text>
    </comment>
    <comment ref="N38" authorId="0" shapeId="0" xr:uid="{A130DB38-2982-45F5-9151-E9F2BD37DBB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11/2022</t>
        </r>
      </text>
    </comment>
    <comment ref="H39" authorId="0" shapeId="0" xr:uid="{83BADA13-429D-4BDB-AF89-81A915BCBED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 &amp; 02/2022</t>
        </r>
      </text>
    </comment>
    <comment ref="C40" authorId="0" shapeId="0" xr:uid="{479C06B7-1C53-436B-B24B-6EC5B7BF107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10;11 &amp; 12/2021</t>
        </r>
      </text>
    </comment>
    <comment ref="E40" authorId="0" shapeId="0" xr:uid="{9964B0AF-13CC-44D5-946A-A6BFEC0ACC6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 &amp; 02/2022</t>
        </r>
      </text>
    </comment>
    <comment ref="H40" authorId="0" shapeId="0" xr:uid="{AAA468B7-871B-4713-9094-C0631622D89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03;04;05 &amp; 06/2022</t>
        </r>
      </text>
    </comment>
    <comment ref="J40" authorId="0" shapeId="0" xr:uid="{A4E77432-240C-40B5-9C8A-AD42C130954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07 &amp; 08/2022</t>
        </r>
      </text>
    </comment>
    <comment ref="N40" authorId="0" shapeId="0" xr:uid="{1C45D549-934C-4695-AE3C-FB2031A86C41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09;10;11 &amp; 12/2022</t>
        </r>
      </text>
    </comment>
    <comment ref="D41" authorId="0" shapeId="0" xr:uid="{B7977CD0-6461-4F9F-AF02-ECC9D701829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BP COC 7439555 du 09/02/2022
2ième semestre 2020 &amp; 1ier semestre 2021</t>
        </r>
      </text>
    </comment>
    <comment ref="J41" authorId="0" shapeId="0" xr:uid="{F22F5EB8-6697-46AD-9C15-CAE09260B49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2ième semestre 2021
BP COC 7439558 du 16/08/2022</t>
        </r>
      </text>
    </comment>
    <comment ref="E42" authorId="0" shapeId="0" xr:uid="{A66C1F2C-EAB7-4E01-949B-C33CA047880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Mars à Décembre 2021</t>
        </r>
      </text>
    </comment>
    <comment ref="K42" authorId="0" shapeId="0" xr:uid="{50B801AE-5BF8-4943-BEFA-A24F1CD3B889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janvier à Aout 2022
barid bank SAY 3585484 du 03/09/2022</t>
        </r>
      </text>
    </comment>
    <comment ref="E43" authorId="0" shapeId="0" xr:uid="{DEE3A8E8-A137-4597-AA09-324F8A6504F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12/2021 &amp; 01;02;03 &amp; 04/2022
Mai à septemre 2020</t>
        </r>
      </text>
    </comment>
    <comment ref="J43" authorId="0" shapeId="0" xr:uid="{6D1805AF-5322-4AF0-B999-BFD24CCE397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10; 11 &amp; 12/2022</t>
        </r>
      </text>
    </comment>
    <comment ref="D44" authorId="0" shapeId="0" xr:uid="{94ED9A36-A0BB-471A-AB8E-82C2631C3601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CA BLB 49074010 du 22/02/2022
1er semestre 2022
+50dh éléc garage</t>
        </r>
      </text>
    </comment>
    <comment ref="I44" authorId="0" shapeId="0" xr:uid="{88A69238-CAFB-4CC0-8456-16A68512AD6A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2ième semestre 2022
CA BLB 4974013 DU 05/07/2022</t>
        </r>
      </text>
    </comment>
    <comment ref="N44" authorId="0" shapeId="0" xr:uid="{F1718920-A6B8-42A3-858C-126AF5632D8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CA: BLB 4974017 du 14/12/2022 
1er semestre 2023</t>
        </r>
      </text>
    </comment>
    <comment ref="O44" authorId="0" shapeId="0" xr:uid="{1BF8DEB8-E5FF-4A9B-B69D-FFFBCCBC0CE9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année 2022
chque BLB4974010     du 22/02/2022</t>
        </r>
      </text>
    </comment>
    <comment ref="H45" authorId="0" shapeId="0" xr:uid="{9B62B9BD-2B56-4BA1-8200-F0C7441FDAD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Attijari n°546134 du 01/06/22 + 50dh garage</t>
        </r>
      </text>
    </comment>
    <comment ref="I46" authorId="0" shapeId="0" xr:uid="{D3AAC8CE-3DC5-49AF-9CC2-73E86BA3C1F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2ième semestre 2022
BP CPB 2757063 du 26/07/2022</t>
        </r>
      </text>
    </comment>
    <comment ref="F47" authorId="0" shapeId="0" xr:uid="{B5CA525D-9C24-444E-98C6-B6BA564A61E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BMCI MFC 4447565 du 
04/04/2022
année 2022 + 50dh éléc garage</t>
        </r>
      </text>
    </comment>
    <comment ref="O47" authorId="0" shapeId="0" xr:uid="{5C5B018B-05CB-4355-B02B-9A7104D28FD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année 2022
chque BMCI MFC 44447564 du 04/04/22</t>
        </r>
      </text>
    </comment>
    <comment ref="C48" authorId="0" shapeId="0" xr:uid="{76D98AC2-C717-4935-B1B2-8C0E551CB9D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01/2022</t>
        </r>
      </text>
    </comment>
    <comment ref="F48" authorId="0" shapeId="0" xr:uid="{B2CB1431-3507-45BC-8D17-E61D50BFF321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02 &amp; 03/2022</t>
        </r>
      </text>
    </comment>
    <comment ref="G48" authorId="0" shapeId="0" xr:uid="{B8CB0F38-1E03-43ED-BDBE-732022120ED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04/2022 &amp; 05/2022</t>
        </r>
      </text>
    </comment>
    <comment ref="J48" authorId="0" shapeId="0" xr:uid="{3301517A-C337-4EAA-83D2-6CDEF9C13567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07/2022 &amp; 08/2022</t>
        </r>
      </text>
    </comment>
    <comment ref="M48" authorId="0" shapeId="0" xr:uid="{57635999-B0F4-4686-B38D-980A0F3B2DA9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10/2022</t>
        </r>
      </text>
    </comment>
    <comment ref="N48" authorId="0" shapeId="0" xr:uid="{A0ED1D7C-6B3F-4C52-8659-5816B3861DE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11/2022</t>
        </r>
      </text>
    </comment>
    <comment ref="D49" authorId="0" shapeId="0" xr:uid="{FD56EC54-81A1-40A3-98D6-A76927C4635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CIH PVC 2401674 du 10/02/2022</t>
        </r>
      </text>
    </comment>
    <comment ref="I49" authorId="0" shapeId="0" xr:uid="{95FA7FAB-0763-42CC-885C-71F4D07960E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2ième semestre 2022
CIH TBL 2401676 du 05/07/200 + 50dh garage</t>
        </r>
      </text>
    </comment>
    <comment ref="O49" authorId="0" shapeId="0" xr:uid="{F1178346-E0C5-4D6C-BA9D-46CEB9DB8821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année 2022
chque CIH TBC 2401676 du 05/07/2022</t>
        </r>
      </text>
    </comment>
    <comment ref="C50" authorId="0" shapeId="0" xr:uid="{5366C3B3-11E3-4AB7-87F5-DEB860BC09FE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payé le 21/12/2021</t>
        </r>
      </text>
    </comment>
    <comment ref="I50" authorId="0" shapeId="0" xr:uid="{72D5BD8A-D3E2-4275-80C0-6BBF7C07D540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03,04,05 &amp; 06/2022</t>
        </r>
      </text>
    </comment>
    <comment ref="L50" authorId="0" shapeId="0" xr:uid="{932354AD-F35C-4FB8-9A39-22E9B397F4C0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juillet 2022 à janvier 2023
payé le 17/10/2022</t>
        </r>
      </text>
    </comment>
    <comment ref="N59" authorId="0" shapeId="0" xr:uid="{0EF9A51F-E968-4202-8287-D5999459FF9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cotisations payées le 30/01/2023</t>
        </r>
      </text>
    </comment>
    <comment ref="I61" authorId="0" shapeId="0" xr:uid="{73A75CB5-BA00-4666-8485-34E2FD73423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Janvier à juillet 2022
Payé le 30/07/2022</t>
        </r>
      </text>
    </comment>
    <comment ref="E62" authorId="0" shapeId="0" xr:uid="{61DB2EC5-35A1-45C6-86E8-FE8E8BF71461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paiement du 14/04/22 période de septembre 2021 à mars 22</t>
        </r>
      </text>
    </comment>
    <comment ref="N64" authorId="0" shapeId="0" xr:uid="{6A966352-672F-4228-BB28-FE263CE311F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PAYE LE 02/01/2023</t>
        </r>
      </text>
    </comment>
    <comment ref="E72" authorId="0" shapeId="0" xr:uid="{C2F665EE-5B6B-41E0-A7A9-3F0D921B1140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Paiement efféctué le 12/04/2022 période de septembre 2021 à mars 2022</t>
        </r>
      </text>
    </comment>
    <comment ref="H73" authorId="0" shapeId="0" xr:uid="{5E0900FA-A83D-44FF-9864-8CF02E0BD01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BP: CPI 5099234 du 16/05/22 1er semestre 2022</t>
        </r>
      </text>
    </comment>
    <comment ref="M73" authorId="0" shapeId="0" xr:uid="{D8A0DC95-4D81-4385-85C8-1EAD9CE0D23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chèq BMCI MFC 7021222 du 08/11/22</t>
        </r>
      </text>
    </comment>
    <comment ref="E75" authorId="0" shapeId="0" xr:uid="{ECD31A0D-FAD9-42D8-8543-602E6006138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paiement efféctué pour Aout 2021  à mars 2022 chèq AWB: AUZ 516696 du 07/04/22</t>
        </r>
      </text>
    </comment>
    <comment ref="F76" authorId="0" shapeId="0" xr:uid="{8757858F-66B5-4CC9-808E-95E8EC9495F7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virement du 11/04/22 pour novembre 2021 à juin 2022</t>
        </r>
      </text>
    </comment>
    <comment ref="H83" authorId="0" shapeId="0" xr:uid="{D29AD36A-B22E-4534-A428-EE9AB0A31D2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11 &amp; 12/2021
et 01 à 06/2022</t>
        </r>
      </text>
    </comment>
    <comment ref="J83" authorId="0" shapeId="0" xr:uid="{BDF803F6-3C2B-4CEB-A027-48531B389AF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07 &amp; 08/2022</t>
        </r>
      </text>
    </comment>
    <comment ref="M83" authorId="0" shapeId="0" xr:uid="{042AD704-0B12-4E02-96B5-F34A513C577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09: 10 &amp; 11/2022</t>
        </r>
      </text>
    </comment>
    <comment ref="C84" authorId="0" shapeId="0" xr:uid="{56B573C5-83D2-48F9-A113-A2509771DD3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10 &amp; 11/2021
et 12/2021</t>
        </r>
      </text>
    </comment>
    <comment ref="G84" authorId="0" shapeId="0" xr:uid="{39929313-C4AF-4631-83BD-7D0F2443A50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Année 2022</t>
        </r>
      </text>
    </comment>
    <comment ref="D85" authorId="0" shapeId="0" xr:uid="{2A0625CC-EF4A-4FA9-B113-8963CCD1190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01/2022
</t>
        </r>
      </text>
    </comment>
    <comment ref="E85" authorId="0" shapeId="0" xr:uid="{45F4C2DE-8BF2-4D4B-9B11-7095685850F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02/2022</t>
        </r>
      </text>
    </comment>
    <comment ref="F85" authorId="0" shapeId="0" xr:uid="{D2C8F923-3DEC-4615-998C-371AFFC8994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03/2022</t>
        </r>
      </text>
    </comment>
    <comment ref="G85" authorId="0" shapeId="0" xr:uid="{A62E3561-2EF2-4A67-8D10-AA13161D9CDE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04/2022</t>
        </r>
      </text>
    </comment>
    <comment ref="H85" authorId="0" shapeId="0" xr:uid="{0CAB6C0A-9E19-4954-B9B2-0A3BAB72EAD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05/2022 &amp; 06/2022</t>
        </r>
      </text>
    </comment>
    <comment ref="J85" authorId="0" shapeId="0" xr:uid="{02C4F56A-803E-47E0-B4E8-B8D35B977E2E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07/2022 &amp; 08/2022</t>
        </r>
      </text>
    </comment>
    <comment ref="L85" authorId="0" shapeId="0" xr:uid="{0BF3ABA6-CD27-41FC-AFE0-5CB395792747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09/2022</t>
        </r>
      </text>
    </comment>
    <comment ref="F86" authorId="0" shapeId="0" xr:uid="{F8C98BFA-BD56-4E9A-B8D3-B08BB98307F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11 &amp; 12/2021 =220dh
01;02 &amp; 03/2022=420dh</t>
        </r>
      </text>
    </comment>
    <comment ref="H86" authorId="0" shapeId="0" xr:uid="{B3039877-4D66-43A8-84C8-082D806CF08E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04 &amp; 05/2022</t>
        </r>
      </text>
    </comment>
    <comment ref="K86" authorId="0" shapeId="0" xr:uid="{7259209B-BC69-4A16-B85A-7AEEA9757DFA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06;07;08 &amp; 09/2022</t>
        </r>
      </text>
    </comment>
    <comment ref="H87" authorId="0" shapeId="0" xr:uid="{601FE2D0-BEB3-4B8A-A3D1-395B272B9D2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CDM 180 9986525 du 30/06/2022
année 2022</t>
        </r>
      </text>
    </comment>
    <comment ref="C88" authorId="0" shapeId="0" xr:uid="{A6F12AAD-0E91-4157-9733-012D0812749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01;02 &amp; 03/2022
SG: 276462 du 06/01/2022</t>
        </r>
      </text>
    </comment>
    <comment ref="F88" authorId="0" shapeId="0" xr:uid="{5460A285-0B8A-4653-A313-E4BF75C3E6EA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SG: KBC 9001058 du 07/04/2022</t>
        </r>
      </text>
    </comment>
    <comment ref="I88" authorId="0" shapeId="0" xr:uid="{C380FBA0-C05D-4F01-A0D0-BC3C34705C2C}">
      <text>
        <r>
          <rPr>
            <b/>
            <sz val="9"/>
            <color indexed="81"/>
            <rFont val="Tahoma"/>
            <family val="2"/>
          </rPr>
          <t xml:space="preserve">Syndic Intellak II:
</t>
        </r>
        <r>
          <rPr>
            <sz val="9"/>
            <color indexed="81"/>
            <rFont val="Tahoma"/>
            <family val="2"/>
          </rPr>
          <t>SG: KBC 9001062 du 04/07/2022
07; 06 &amp; 07/2022</t>
        </r>
      </text>
    </comment>
    <comment ref="L88" authorId="0" shapeId="0" xr:uid="{1FFAA4CB-2A4F-473E-A351-A2CA2C509BC3}">
      <text>
        <r>
          <rPr>
            <b/>
            <sz val="9"/>
            <color indexed="81"/>
            <rFont val="Tahoma"/>
            <family val="2"/>
          </rPr>
          <t xml:space="preserve">Syndic Intellak II:
</t>
        </r>
        <r>
          <rPr>
            <sz val="9"/>
            <color indexed="81"/>
            <rFont val="Tahoma"/>
            <family val="2"/>
          </rPr>
          <t>SG: KBC 9001067 du 03/10/2022
10; 11 &amp; 12/2022</t>
        </r>
      </text>
    </comment>
    <comment ref="D89" authorId="0" shapeId="0" xr:uid="{B4D719AE-F1C4-4377-A882-2D7301C31C3E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04 à 12/2021</t>
        </r>
      </text>
    </comment>
    <comment ref="K89" authorId="0" shapeId="0" xr:uid="{45CC0E77-DAC5-49F5-869E-5A9D2855E80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 à 09/2022</t>
        </r>
      </text>
    </comment>
    <comment ref="K90" authorId="0" shapeId="0" xr:uid="{42423772-DBA4-46F4-BE10-E21AEB12B94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Décembre 2021 à septembre2022
payé le 22/09/2022</t>
        </r>
      </text>
    </comment>
    <comment ref="O90" authorId="0" shapeId="0" xr:uid="{78746F47-3614-414F-89FB-950B8F304D8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années 20210 &amp; 2022
payé le 22/09/2022</t>
        </r>
      </text>
    </comment>
    <comment ref="D91" authorId="0" shapeId="0" xr:uid="{E10FBFCA-A4F4-438D-9162-2E41E3FA4BE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01/2022</t>
        </r>
      </text>
    </comment>
    <comment ref="E91" authorId="0" shapeId="0" xr:uid="{F4458925-5EE6-42FC-AFEB-0DB248DF4FD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02/2022
et 03/2022</t>
        </r>
      </text>
    </comment>
    <comment ref="G91" authorId="0" shapeId="0" xr:uid="{3A26AA9D-4F01-4A36-99BA-2A992A90DC3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04/2022 &amp; 05/2022</t>
        </r>
      </text>
    </comment>
    <comment ref="K91" authorId="0" shapeId="0" xr:uid="{DD49BF8A-FCDA-4233-83A4-87A65AE3063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08/2022 &amp; 09/2022</t>
        </r>
      </text>
    </comment>
    <comment ref="N91" authorId="0" shapeId="0" xr:uid="{AAAA27ED-6107-4FF7-BF39-AA82FDD2F787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10 &amp; 11/2022
et 12/2022</t>
        </r>
      </text>
    </comment>
    <comment ref="C92" authorId="0" shapeId="0" xr:uid="{E4A60D3D-C1E6-4B3F-9838-9E9CA95285FE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12/2021</t>
        </r>
      </text>
    </comment>
    <comment ref="D92" authorId="0" shapeId="0" xr:uid="{DBE8217C-3513-4C9B-A747-245AD8A8CF1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01/2022 &amp; 02/2022</t>
        </r>
      </text>
    </comment>
    <comment ref="F92" authorId="0" shapeId="0" xr:uid="{BB19A2F8-0AE2-4513-AAA0-DC23CB392FA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03/2022</t>
        </r>
      </text>
    </comment>
    <comment ref="G92" authorId="0" shapeId="0" xr:uid="{5F8EE5A3-2CB3-47ED-A6EE-3EBE0AABBBC9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04/2022
et 05/2022</t>
        </r>
      </text>
    </comment>
    <comment ref="I92" authorId="0" shapeId="0" xr:uid="{601E82E6-3D74-43AF-A102-5E78A2873A7A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06/2022</t>
        </r>
      </text>
    </comment>
    <comment ref="J92" authorId="0" shapeId="0" xr:uid="{B99FDA84-C198-4C77-81CB-3590AACC0D5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07/2022 &amp; 08/2022</t>
        </r>
      </text>
    </comment>
    <comment ref="L92" authorId="0" shapeId="0" xr:uid="{3BF1C8FE-9F28-4416-8C10-BE1F9142C52A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09/2022 &amp; 10/2022</t>
        </r>
      </text>
    </comment>
    <comment ref="N92" authorId="0" shapeId="0" xr:uid="{7E0133D9-7059-4C21-ADB1-A8C6B9815C21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11/2022</t>
        </r>
      </text>
    </comment>
    <comment ref="E95" authorId="0" shapeId="0" xr:uid="{15F57A22-7BC2-4C47-8D9B-9D1294291B9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12/2021
01 &amp; 02/2022</t>
        </r>
      </text>
    </comment>
    <comment ref="G95" authorId="0" shapeId="0" xr:uid="{EA2200CF-1896-4744-90F9-955802575F9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03;04 &amp; 05/2022</t>
        </r>
      </text>
    </comment>
    <comment ref="J95" authorId="0" shapeId="0" xr:uid="{A3A6957D-718F-4374-8FB2-809501D4CA70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06; 07 &amp; 08/2022</t>
        </r>
      </text>
    </comment>
    <comment ref="L95" authorId="0" shapeId="0" xr:uid="{70840B43-B063-4763-A8E1-173AD4E10759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09; 10 &amp; 11/2022</t>
        </r>
      </text>
    </comment>
    <comment ref="D96" authorId="0" shapeId="0" xr:uid="{139C22CD-531B-45B6-892C-8E7CC3A49B51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année 2022</t>
        </r>
      </text>
    </comment>
    <comment ref="G97" authorId="0" shapeId="0" xr:uid="{761F3E5D-45AA-4DEA-ADC8-A3036FBC8731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04/2022</t>
        </r>
      </text>
    </comment>
    <comment ref="H97" authorId="0" shapeId="0" xr:uid="{8C6AF4E3-2E53-4E28-9934-448ACA70D41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05/2022 &amp; 06/2022</t>
        </r>
      </text>
    </comment>
    <comment ref="L97" authorId="0" shapeId="0" xr:uid="{26D01A09-DA6A-4B46-A8F5-3C63659507D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09/2022 &amp; 10/2022
</t>
        </r>
      </text>
    </comment>
    <comment ref="N97" authorId="0" shapeId="0" xr:uid="{EF08DF5C-0BC6-4147-B472-9ECFC56DD0D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11/2022 &amp; 12/2022</t>
        </r>
      </text>
    </comment>
    <comment ref="E98" authorId="0" shapeId="0" xr:uid="{28ECB4E1-E6E2-432A-819C-49885286213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10;11 &amp; 12/2021
01;02 &amp; 03/2022</t>
        </r>
      </text>
    </comment>
    <comment ref="H98" authorId="0" shapeId="0" xr:uid="{D02196AB-5910-42FB-9717-C141CF4FFFA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04; 05 &amp; 06/2022</t>
        </r>
      </text>
    </comment>
    <comment ref="K98" authorId="0" shapeId="0" xr:uid="{28822CE9-5BA0-4420-A9E5-890EDACB0A4A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07; 08 &amp; 09/2022</t>
        </r>
      </text>
    </comment>
    <comment ref="N98" authorId="0" shapeId="0" xr:uid="{6EFCE7F0-CC47-42BF-8DE0-5D179228178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10; 11 &amp; 12/2022</t>
        </r>
      </text>
    </comment>
    <comment ref="D99" authorId="0" shapeId="0" xr:uid="{4CB8329D-D505-49AB-BAA9-7FD2F4F9F39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01/2022</t>
        </r>
      </text>
    </comment>
    <comment ref="E99" authorId="0" shapeId="0" xr:uid="{6903EE95-5C12-4718-9877-DF3BD0D04A8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02/2022
et 03/2022</t>
        </r>
      </text>
    </comment>
    <comment ref="K99" authorId="0" shapeId="0" xr:uid="{9D93DCC8-400A-45A4-9812-4AB4735C334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08/2022</t>
        </r>
      </text>
    </comment>
    <comment ref="L99" authorId="0" shapeId="0" xr:uid="{DB6BF15A-AA6C-498B-8857-A5C125C7BD2A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09/2022 &amp; 10/2022</t>
        </r>
      </text>
    </comment>
    <comment ref="D100" authorId="0" shapeId="0" xr:uid="{003AAE54-DCD8-4DC5-B28D-F53EDE4F12BA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CA: 202 1079416 du 02/02/2022
10;11 &amp; 12/2021</t>
        </r>
      </text>
    </comment>
    <comment ref="H100" authorId="0" shapeId="0" xr:uid="{E7FBBF0F-D25D-47D5-BDEB-075F6CC317E3}">
      <text>
        <r>
          <rPr>
            <b/>
            <sz val="9"/>
            <color indexed="81"/>
            <rFont val="Tahoma"/>
            <family val="2"/>
          </rPr>
          <t xml:space="preserve">Syndic Intellak II:
</t>
        </r>
        <r>
          <rPr>
            <sz val="9"/>
            <color indexed="81"/>
            <rFont val="Tahoma"/>
            <family val="2"/>
          </rPr>
          <t>CDM 202 1079417 du 31/05/20222</t>
        </r>
        <r>
          <rPr>
            <sz val="9"/>
            <color indexed="81"/>
            <rFont val="Tahoma"/>
            <family val="2"/>
          </rPr>
          <t xml:space="preserve">
01;02 &amp; 03/2022</t>
        </r>
      </text>
    </comment>
    <comment ref="M100" authorId="0" shapeId="0" xr:uid="{41D61095-1809-430D-85D8-6AB6103EEC7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CDM: 2021079428 du 202/11/2022
04: 05 &amp; 06/2022</t>
        </r>
      </text>
    </comment>
    <comment ref="C101" authorId="0" shapeId="0" xr:uid="{787826B8-2612-4B8F-9C75-FCDF3BF9CFE1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01;02 &amp; 03/2022</t>
        </r>
      </text>
    </comment>
    <comment ref="H101" authorId="0" shapeId="0" xr:uid="{DA112B80-EA19-4198-8AA0-0F594EEC5D0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04;05 &amp; 06/2022</t>
        </r>
      </text>
    </comment>
    <comment ref="J101" authorId="0" shapeId="0" xr:uid="{D6ACC954-D27C-4ABE-A3CF-A7102454B54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07; 08 &amp; 09/2022</t>
        </r>
      </text>
    </comment>
    <comment ref="L101" authorId="0" shapeId="0" xr:uid="{7055AA4B-3FE2-4F4E-8239-29CAC80739D9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10; 11 &amp; 12/2022</t>
        </r>
      </text>
    </comment>
    <comment ref="E102" authorId="0" shapeId="0" xr:uid="{E82F871F-6664-4216-B5C8-DB506FE411B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02/2022</t>
        </r>
      </text>
    </comment>
    <comment ref="F102" authorId="0" shapeId="0" xr:uid="{73904126-9221-4AFB-BC45-61B1C1BD765A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03/2022
et 04/2022</t>
        </r>
      </text>
    </comment>
    <comment ref="I102" authorId="0" shapeId="0" xr:uid="{CBA51540-B68C-4BEC-8DFA-11AC4BC66E9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06/2022 &amp; 07/2022</t>
        </r>
      </text>
    </comment>
    <comment ref="N102" authorId="0" shapeId="0" xr:uid="{CBC9A464-0966-4AF2-9294-6CEFB30DBAE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11/2022</t>
        </r>
      </text>
    </comment>
    <comment ref="C103" authorId="0" shapeId="0" xr:uid="{05402A04-9AFF-4243-BFF9-7B582A3573DE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BP: CJI 5977619 du 
2ième semestre 2021</t>
        </r>
      </text>
    </comment>
    <comment ref="J103" authorId="0" shapeId="0" xr:uid="{C5C80A00-00CC-4EA0-A10A-AC8A8D44428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BP: CJI 5977621 du 10/08/2022
1er semestre 2022</t>
        </r>
      </text>
    </comment>
    <comment ref="C110" authorId="0" shapeId="0" xr:uid="{E173EA35-8219-4266-9D46-2897311240F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10; 11 &amp; 12/2021</t>
        </r>
      </text>
    </comment>
    <comment ref="H110" authorId="0" shapeId="0" xr:uid="{48AD21D8-F3C4-4CA9-B34B-07D5517A457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01; 02 &amp; 03/2022
80dh 04/2022</t>
        </r>
      </text>
    </comment>
    <comment ref="I110" authorId="0" shapeId="0" xr:uid="{8EFE14A1-91BC-44E0-AE3B-2629FEF27F6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60dh 04/2022
280dh 05 &amp; 06/2022</t>
        </r>
      </text>
    </comment>
    <comment ref="D111" authorId="0" shapeId="0" xr:uid="{AD5A98BE-182F-4BA9-9393-4F2F0C33BEF9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SG: KBC 8092956 du 15/02/2022
01 à 05/2022</t>
        </r>
      </text>
    </comment>
    <comment ref="I111" authorId="0" shapeId="0" xr:uid="{C472A269-9250-4876-BFE9-67C8BE61EE81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SG:KBC 8092965 du 19/07/22
06 à 10/2022</t>
        </r>
      </text>
    </comment>
    <comment ref="C112" authorId="0" shapeId="0" xr:uid="{8EDBAF3C-3123-4B4C-9A8C-712687703570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01; 02 &amp; 03/2022</t>
        </r>
      </text>
    </comment>
    <comment ref="E112" authorId="0" shapeId="0" xr:uid="{05F39B68-E31A-4C6F-AC78-F18DD4725431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04; 05 &amp; 06/2022</t>
        </r>
      </text>
    </comment>
    <comment ref="K112" authorId="0" shapeId="0" xr:uid="{1A4EFD76-2918-459C-BE90-E8B3F4F68B0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virement du 02/09/2022
07: 08 &amp; 09/2022
virement du 27/09/22
10: 11 &amp; 12/2022</t>
        </r>
      </text>
    </comment>
    <comment ref="O112" authorId="0" shapeId="0" xr:uid="{EA9443F6-7018-4522-87A1-9016664355E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années: 2020 virement du 02/09/22
2021 virement du 27/09/2022</t>
        </r>
      </text>
    </comment>
    <comment ref="C113" authorId="0" shapeId="0" xr:uid="{E049F233-8465-4D75-BA74-C1642FBC0E3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10 &amp; 11/2021</t>
        </r>
      </text>
    </comment>
    <comment ref="D113" authorId="0" shapeId="0" xr:uid="{08DBC780-D23C-4A30-8A0D-810B59A91B1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12/2021
01/2022</t>
        </r>
      </text>
    </comment>
    <comment ref="G113" authorId="0" shapeId="0" xr:uid="{C71C0F65-739B-42C6-9607-617955652EC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02 &amp; 03/2022</t>
        </r>
      </text>
    </comment>
    <comment ref="I113" authorId="0" shapeId="0" xr:uid="{A86C871C-3807-4AC5-92C3-AB141C90FFE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04 &amp; 05/2022</t>
        </r>
      </text>
    </comment>
    <comment ref="N113" authorId="0" shapeId="0" xr:uid="{3018F708-CEB1-41CB-AC65-0762247D464A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06; 07 &amp;08/2022</t>
        </r>
      </text>
    </comment>
    <comment ref="E114" authorId="0" shapeId="0" xr:uid="{0C88BB38-B9D6-43CA-BC6C-B8E39C80941E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11 &amp; 12 2021
01/2022</t>
        </r>
      </text>
    </comment>
    <comment ref="H114" authorId="0" shapeId="0" xr:uid="{88ED163C-D05B-4AF2-B866-1D1A85F7347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02;03; 04; 05 &amp; 06/2022</t>
        </r>
      </text>
    </comment>
    <comment ref="J114" authorId="0" shapeId="0" xr:uid="{F647C051-A228-4778-9C99-FCB74ABE1BA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07/2022</t>
        </r>
      </text>
    </comment>
    <comment ref="K114" authorId="0" shapeId="0" xr:uid="{C03FB0F5-CF41-48CA-9ED7-429F831F7BA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08 &amp; 09/2022</t>
        </r>
      </text>
    </comment>
    <comment ref="N114" authorId="0" shapeId="0" xr:uid="{FE711257-E044-4987-8739-1ED7A5D0D99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10 &amp; 11/2022</t>
        </r>
      </text>
    </comment>
    <comment ref="F116" authorId="0" shapeId="0" xr:uid="{67559C4B-A4E0-42F9-AE2E-F4C6DEF25CD1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09 à 12/2021
01; 02 &amp; 03/2022</t>
        </r>
      </text>
    </comment>
    <comment ref="N116" authorId="0" shapeId="0" xr:uid="{99C47C08-BB6A-4ED0-A63A-515907724B6A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04 à 12/2022</t>
        </r>
      </text>
    </comment>
    <comment ref="O116" authorId="0" shapeId="0" xr:uid="{2AD08055-56FA-430B-952B-8E8E02A2AC4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année 2022
payé le 12/12/2022</t>
        </r>
      </text>
    </comment>
    <comment ref="C117" authorId="0" shapeId="0" xr:uid="{F37EB6AB-D3D4-4097-A6BE-10615FAEEEE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07 à 12/2021</t>
        </r>
      </text>
    </comment>
    <comment ref="I117" authorId="0" shapeId="0" xr:uid="{A7639207-AD8E-4A8D-9D8A-446F0161F58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1er semestre 2022</t>
        </r>
      </text>
    </comment>
    <comment ref="O117" authorId="0" shapeId="0" xr:uid="{AC466EEA-C5AE-4F62-8026-9603B516492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année 2021 
payé le 06/01/2022
année 2022
payé le 05/07/2022</t>
        </r>
      </text>
    </comment>
    <comment ref="D118" authorId="0" shapeId="0" xr:uid="{BBC864DE-4105-4973-B4F6-15856D585E6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BANK: EHC 3022653 du 31/01/2022
année 2022 = 1680
elec garage = 50</t>
        </r>
      </text>
    </comment>
    <comment ref="C119" authorId="0" shapeId="0" xr:uid="{8F66741C-0009-464B-96BE-9AC64556081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12/2021
01 à 11/2022</t>
        </r>
      </text>
    </comment>
    <comment ref="C120" authorId="0" shapeId="0" xr:uid="{02D0CC2B-281E-4600-BEC4-222831BCF99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12/2021
01/2022</t>
        </r>
      </text>
    </comment>
    <comment ref="F120" authorId="0" shapeId="0" xr:uid="{286BA8DC-9AC6-4E51-9B73-77F4EF89E89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03/2022</t>
        </r>
      </text>
    </comment>
    <comment ref="G120" authorId="0" shapeId="0" xr:uid="{41822D6E-1CD2-4389-A376-76A1A2C31B8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04/2022</t>
        </r>
      </text>
    </comment>
    <comment ref="H120" authorId="0" shapeId="0" xr:uid="{418CE6DD-8665-48CA-9E5C-1D613BF96FD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05/2022
06/2022</t>
        </r>
      </text>
    </comment>
    <comment ref="E121" authorId="0" shapeId="0" xr:uid="{14468FA1-90F7-4079-9654-45A4ACD76DF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11 &amp; 12/2021
01/2022
02/2022</t>
        </r>
      </text>
    </comment>
    <comment ref="H121" authorId="0" shapeId="0" xr:uid="{B178BDE1-5104-4736-A500-5B6C682929C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03; 04 &amp; 05/2022</t>
        </r>
      </text>
    </comment>
    <comment ref="C122" authorId="0" shapeId="0" xr:uid="{FF61E639-8467-4A27-82FB-D8C8803222E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11 &amp; 12/2021</t>
        </r>
      </text>
    </comment>
    <comment ref="D122" authorId="0" shapeId="0" xr:uid="{12FC1D6F-658F-4D45-8EF2-996B35FAE4D0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01/2022</t>
        </r>
      </text>
    </comment>
    <comment ref="F122" authorId="0" shapeId="0" xr:uid="{D8C201E7-A609-41FA-A379-3EC0CDDF0E3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02/2022</t>
        </r>
      </text>
    </comment>
    <comment ref="H122" authorId="0" shapeId="0" xr:uid="{7E1F3AC7-E789-476E-A4A7-CD5D8CB6F16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03/2022
04 &amp; 05/2022
06/2022</t>
        </r>
      </text>
    </comment>
    <comment ref="K122" authorId="0" shapeId="0" xr:uid="{ECAB4761-3829-4447-85D6-34AED846061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08/2022
09/2022</t>
        </r>
      </text>
    </comment>
    <comment ref="C123" authorId="0" shapeId="0" xr:uid="{5D8DCC74-D1AB-4E99-B07A-ADF21A085BF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11/2021</t>
        </r>
      </text>
    </comment>
    <comment ref="D123" authorId="0" shapeId="0" xr:uid="{977BF16D-10F8-4EA6-A05B-F4534E9B8CE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12/2021</t>
        </r>
      </text>
    </comment>
    <comment ref="E123" authorId="0" shapeId="0" xr:uid="{422A97A9-82FF-40E4-90CE-C233B92500C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01/2022</t>
        </r>
      </text>
    </comment>
    <comment ref="F123" authorId="0" shapeId="0" xr:uid="{5D68E474-4A17-4A1A-8F74-5DEFE95A8179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02/2022</t>
        </r>
      </text>
    </comment>
    <comment ref="G123" authorId="0" shapeId="0" xr:uid="{CD3848D3-0EF7-4001-892F-AF739F73B74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03/2022</t>
        </r>
      </text>
    </comment>
    <comment ref="H123" authorId="0" shapeId="0" xr:uid="{13C5BB9F-FD87-4168-A923-DDDBB561990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04/2022</t>
        </r>
      </text>
    </comment>
    <comment ref="I123" authorId="0" shapeId="0" xr:uid="{85780982-6566-4DC1-9CC0-36682B002D4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05/2022</t>
        </r>
      </text>
    </comment>
    <comment ref="J123" authorId="0" shapeId="0" xr:uid="{BDF6A59B-F26E-4A8D-8304-1CF88B82119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06/2022</t>
        </r>
      </text>
    </comment>
    <comment ref="K123" authorId="0" shapeId="0" xr:uid="{2DFA54FB-AE67-4EDE-8069-500346D26CD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07/2022</t>
        </r>
      </text>
    </comment>
    <comment ref="L123" authorId="0" shapeId="0" xr:uid="{7D9C20D1-14DA-44EF-BBA4-BF8DCF3DF0D0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08/2022</t>
        </r>
      </text>
    </comment>
    <comment ref="M123" authorId="0" shapeId="0" xr:uid="{06585846-02C8-4D59-BB95-7AB5330B5C9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09/2022</t>
        </r>
      </text>
    </comment>
    <comment ref="N123" authorId="0" shapeId="0" xr:uid="{5984045F-62E2-4466-BDE9-834AB5A16E8E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11/2022</t>
        </r>
      </text>
    </comment>
    <comment ref="C124" authorId="0" shapeId="0" xr:uid="{73C6F12B-09DB-4537-850D-22BD9D54BFA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11/2021</t>
        </r>
      </text>
    </comment>
    <comment ref="D124" authorId="0" shapeId="0" xr:uid="{1A3765FD-1FA3-41AB-AA54-F4ECA4ED572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12/2021</t>
        </r>
      </text>
    </comment>
    <comment ref="E124" authorId="0" shapeId="0" xr:uid="{D835DFD7-F704-40C4-BD99-7BF2988FFF6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01/2022</t>
        </r>
      </text>
    </comment>
    <comment ref="F124" authorId="0" shapeId="0" xr:uid="{788A4142-D4D2-40BB-BAD1-7EE2E0E6082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02/2022</t>
        </r>
      </text>
    </comment>
    <comment ref="H124" authorId="0" shapeId="0" xr:uid="{FD4300E5-05EA-4CFF-8934-2DD059C8015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03/2022</t>
        </r>
      </text>
    </comment>
    <comment ref="I124" authorId="0" shapeId="0" xr:uid="{F6BBD9E0-D2B1-4F38-94E9-9F073308773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04/2022</t>
        </r>
      </text>
    </comment>
    <comment ref="J124" authorId="0" shapeId="0" xr:uid="{89C228A3-B778-4B05-A2A6-F40DBB4635B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05 &amp; 06/2022</t>
        </r>
      </text>
    </comment>
    <comment ref="K124" authorId="0" shapeId="0" xr:uid="{D0B5A7FC-E780-400A-80CE-5C30818C311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07/2022</t>
        </r>
      </text>
    </comment>
    <comment ref="L124" authorId="0" shapeId="0" xr:uid="{2F7777BD-90C4-466A-9F39-BA0EC4DCE50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08/2022</t>
        </r>
      </text>
    </comment>
    <comment ref="M124" authorId="0" shapeId="0" xr:uid="{80842D9D-7038-4FB3-A407-56EBAA4FE8C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09 &amp; 10/2022</t>
        </r>
      </text>
    </comment>
    <comment ref="C125" authorId="0" shapeId="0" xr:uid="{A34B013F-9F8B-47AE-948B-768D0130B45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12/2021</t>
        </r>
      </text>
    </comment>
    <comment ref="E125" authorId="0" shapeId="0" xr:uid="{75D6FCFF-D2A0-4331-9E8D-E05E55239EE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 &amp; 02/2022
03/2022</t>
        </r>
      </text>
    </comment>
    <comment ref="H125" authorId="0" shapeId="0" xr:uid="{56D7E6EF-A410-420C-A701-7017CB52CC4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04; 05 &amp; 06/2022</t>
        </r>
      </text>
    </comment>
    <comment ref="K125" authorId="0" shapeId="0" xr:uid="{3F08623B-9119-40D2-92A0-131658A2DA8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08/2022</t>
        </r>
      </text>
    </comment>
    <comment ref="L125" authorId="0" shapeId="0" xr:uid="{A9A74C57-61EE-44CC-AA48-088079EE5CE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09/2022
10/2022</t>
        </r>
      </text>
    </comment>
    <comment ref="O125" authorId="0" shapeId="0" xr:uid="{CAA731CE-F51F-4594-AF5D-AB5341068CE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années 2019; 2020; 20210&amp; 2022
payé le 10/12/2022</t>
        </r>
      </text>
    </comment>
    <comment ref="D126" authorId="0" shapeId="0" xr:uid="{7DD41505-750B-4C8A-8F75-2354CF916BE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SG:6317243 du 28/2/22
1er semestre 2022</t>
        </r>
      </text>
    </comment>
    <comment ref="I126" authorId="0" shapeId="0" xr:uid="{46380DE9-D19A-4C46-BCD2-B424A817ABCA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SG: AAB 6317250 du 27/07/22
2iéme semestre 2022
éléct garage 2022</t>
        </r>
      </text>
    </comment>
    <comment ref="O126" authorId="0" shapeId="0" xr:uid="{B8AFDF5B-3EC2-48FD-B94A-ABC4909D0DC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année 2022
chque SG AAB 6317250
du 27/07/2022</t>
        </r>
      </text>
    </comment>
    <comment ref="D134" authorId="0" shapeId="0" xr:uid="{4453D13A-7F73-44AB-91DD-AAC62DA492A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BP: CPC 7438961 du 01/02/2022
04/2021 100dh
05 &amp; 06 280dh &amp; 07/120</t>
        </r>
      </text>
    </comment>
    <comment ref="E134" authorId="0" shapeId="0" xr:uid="{91D69111-DADA-4AD5-935D-3975443D030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BP: CPC 7438965 du 28/02/22
07/2021 20dh+09;09 &amp;10/21 420dh+60dh 11/2021
</t>
        </r>
      </text>
    </comment>
    <comment ref="F134" authorId="0" shapeId="0" xr:uid="{05C177A0-A805-4C64-8442-D6CCD69974AA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BP: cpc 7438968 du 29/03/22
80dh/11/2021+140/12/2021+280dh/ 01&amp;02/22</t>
        </r>
      </text>
    </comment>
    <comment ref="G134" authorId="0" shapeId="0" xr:uid="{036D7F92-5C06-47DD-B5B1-B51275B343C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BP: CPC 7438971 du 04/05/22
420dh 03;04 &amp; 05/2022  +80dh 06/22</t>
        </r>
      </text>
    </comment>
    <comment ref="I134" authorId="0" shapeId="0" xr:uid="{259E338A-E8B2-4C7C-B234-75A52C7B3D1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BP: CPC 7438978 du 05/07/22 : 60dh/06/22
420dh/07 à 09/22
20dh/10/22</t>
        </r>
      </text>
    </comment>
    <comment ref="M134" authorId="0" shapeId="0" xr:uid="{50E3C373-34C1-42E8-AA64-E3C0DDAA9DE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120dh/10/22
280dh/11 &amp; 12/2022
payé le 06/11/22</t>
        </r>
      </text>
    </comment>
    <comment ref="C135" authorId="0" shapeId="0" xr:uid="{37D684F8-7657-4600-9C96-01C13ACE3D3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12/2021</t>
        </r>
      </text>
    </comment>
    <comment ref="D135" authorId="0" shapeId="0" xr:uid="{D03660ED-A3B5-4565-9649-B0D8C2F8833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01/2022</t>
        </r>
      </text>
    </comment>
    <comment ref="E135" authorId="0" shapeId="0" xr:uid="{E3F62391-31A2-43D9-B98C-85FAEB82379E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02/2022</t>
        </r>
      </text>
    </comment>
    <comment ref="F135" authorId="0" shapeId="0" xr:uid="{A5B39D86-92F9-4193-A938-E8E70EE6393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03/2022</t>
        </r>
      </text>
    </comment>
    <comment ref="G135" authorId="0" shapeId="0" xr:uid="{5B2D4771-4722-4CBF-879E-A2B03E7B8DA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04/2022
05/22</t>
        </r>
      </text>
    </comment>
    <comment ref="I135" authorId="0" shapeId="0" xr:uid="{64CAE099-007E-44DC-91FC-FEFC7DEC5A6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06/22 payé le 02/07/22</t>
        </r>
      </text>
    </comment>
    <comment ref="J135" authorId="0" shapeId="0" xr:uid="{437F5445-F0CC-4093-B910-1219DFE9180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07/22 payé le 22/08/22</t>
        </r>
      </text>
    </comment>
    <comment ref="K135" authorId="0" shapeId="0" xr:uid="{AAD4F980-6961-4445-99F2-376B411EEB6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08/22</t>
        </r>
      </text>
    </comment>
    <comment ref="L135" authorId="0" shapeId="0" xr:uid="{02B3196B-E521-47FD-BA04-69A1F9699F29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09/22 payé le 06/10/22</t>
        </r>
      </text>
    </comment>
    <comment ref="M135" authorId="0" shapeId="0" xr:uid="{DE34E855-98E1-4EE8-9BF8-4C5A38C19F4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10/22 payé le 05/11/22</t>
        </r>
      </text>
    </comment>
    <comment ref="N135" authorId="0" shapeId="0" xr:uid="{FB948CD7-FB89-4E1C-AE6D-9A6C2F891B3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11/2022
 payé le 06/12/22</t>
        </r>
      </text>
    </comment>
    <comment ref="C136" authorId="0" shapeId="0" xr:uid="{9AFD13B1-EC55-4353-A8BE-D5673BC5430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08 &amp; 09/2021
10; 11 &amp; 12/2021</t>
        </r>
      </text>
    </comment>
    <comment ref="G136" authorId="0" shapeId="0" xr:uid="{34A8F375-03E3-46C7-9762-49FB17CBCFB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 à 05/2022</t>
        </r>
      </text>
    </comment>
    <comment ref="N136" authorId="0" shapeId="0" xr:uid="{0BEF0327-F855-462F-843D-398F4F83F8B9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06 à 12/2022 payé le 30/12/22</t>
        </r>
      </text>
    </comment>
    <comment ref="C137" authorId="0" shapeId="0" xr:uid="{C09E6B19-2E66-4B4E-9428-627FEE83E53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08 à 12/2021
01 &amp;02/2022</t>
        </r>
      </text>
    </comment>
    <comment ref="M137" authorId="0" shapeId="0" xr:uid="{514E4DDE-9257-41D8-9ECD-7A79CBC2519E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 à 12/2022
payé le 06/11/22</t>
        </r>
      </text>
    </comment>
    <comment ref="E138" authorId="0" shapeId="0" xr:uid="{BB19BF85-8CBC-49DB-B9B5-C177B02632B1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02/2022</t>
        </r>
      </text>
    </comment>
    <comment ref="F138" authorId="0" shapeId="0" xr:uid="{27A31189-677F-4D2B-9967-010E98AF6CB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03/2022</t>
        </r>
      </text>
    </comment>
    <comment ref="G138" authorId="0" shapeId="0" xr:uid="{7A601086-6F0D-4BCE-93D7-5D37A951AEA9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04 &amp; 05/2022</t>
        </r>
      </text>
    </comment>
    <comment ref="I138" authorId="0" shapeId="0" xr:uid="{60E8D086-5ACA-463F-8768-50430FD6A91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06 &amp; 07/22 
payé le 09/07/22</t>
        </r>
      </text>
    </comment>
    <comment ref="K138" authorId="0" shapeId="0" xr:uid="{E8381EF1-5CC1-468F-B931-6255485E39C9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08/22 payé le 06/09/22</t>
        </r>
      </text>
    </comment>
    <comment ref="M138" authorId="0" shapeId="0" xr:uid="{DAEDE509-1527-44B3-AA0F-F8F710E56A71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09/2022 payé le 01/11/2022</t>
        </r>
      </text>
    </comment>
    <comment ref="C139" authorId="0" shapeId="0" xr:uid="{B6B5EFA9-E1A2-4BC5-A231-F49B1242C56E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11/2021</t>
        </r>
      </text>
    </comment>
    <comment ref="D139" authorId="0" shapeId="0" xr:uid="{F96EBA63-DB7C-44AF-A184-E1B96C5F4DF1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12/2021/
01/2022
02/2022</t>
        </r>
      </text>
    </comment>
    <comment ref="O140" authorId="0" shapeId="0" xr:uid="{083FEB35-E0B7-4322-8BDD-29D23E7C6871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années 2020; 21 &amp; 2022
payé le 10/08/2022</t>
        </r>
      </text>
    </comment>
    <comment ref="C141" authorId="0" shapeId="0" xr:uid="{164D7DB4-2286-4F25-9D26-BECE0734C5D0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année 2022</t>
        </r>
      </text>
    </comment>
    <comment ref="E142" authorId="0" shapeId="0" xr:uid="{B3CB7D13-BAFB-4253-A43C-DED29D150C7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120dh / 2021
840dh / 09/2021 à 02/2022</t>
        </r>
      </text>
    </comment>
    <comment ref="D143" authorId="0" shapeId="0" xr:uid="{227AD768-8A85-424E-A241-FABC42F6864F}">
      <text>
        <r>
          <rPr>
            <b/>
            <sz val="9"/>
            <color indexed="81"/>
            <rFont val="Tahoma"/>
            <family val="2"/>
          </rPr>
          <t xml:space="preserve">Syndic Intellak II:
</t>
        </r>
        <r>
          <rPr>
            <sz val="9"/>
            <color indexed="81"/>
            <rFont val="Tahoma"/>
            <family val="2"/>
          </rPr>
          <t>BP: AAA 1800001 du 31/01/2022
01; 02 &amp; 03/2022</t>
        </r>
      </text>
    </comment>
    <comment ref="E143" authorId="0" shapeId="0" xr:uid="{7B3A2CC5-827B-4872-8429-CDC6D202495E}">
      <text>
        <r>
          <rPr>
            <b/>
            <sz val="9"/>
            <color indexed="81"/>
            <rFont val="Tahoma"/>
            <family val="2"/>
          </rPr>
          <t xml:space="preserve">Syndic Intellak II:
</t>
        </r>
        <r>
          <rPr>
            <sz val="9"/>
            <color indexed="81"/>
            <rFont val="Tahoma"/>
            <family val="2"/>
          </rPr>
          <t>BP:AAA1800006 du 28/03/22</t>
        </r>
        <r>
          <rPr>
            <sz val="9"/>
            <color indexed="81"/>
            <rFont val="Tahoma"/>
            <family val="2"/>
          </rPr>
          <t xml:space="preserve">
04 à 09/2022</t>
        </r>
      </text>
    </comment>
    <comment ref="K143" authorId="0" shapeId="0" xr:uid="{FBE2F71A-FDE9-41C0-B70E-7CC902FA2440}">
      <text>
        <r>
          <rPr>
            <b/>
            <sz val="9"/>
            <color indexed="81"/>
            <rFont val="Tahoma"/>
            <family val="2"/>
          </rPr>
          <t xml:space="preserve">Syndic Intellak II:
</t>
        </r>
        <r>
          <rPr>
            <sz val="9"/>
            <color indexed="81"/>
            <rFont val="Tahoma"/>
            <family val="2"/>
          </rPr>
          <t>BP: AAA 1800018 du 20/09/22
10; 11 &amp; 12/22</t>
        </r>
      </text>
    </comment>
    <comment ref="N143" authorId="0" shapeId="0" xr:uid="{F41FF684-73C1-4097-8958-D736CFC6728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BP: AAA 1800025 du 29/12/22
1er semestre 2023</t>
        </r>
      </text>
    </comment>
    <comment ref="D144" authorId="0" shapeId="0" xr:uid="{724CA908-04C7-4144-8024-08B0871AF4C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10/2021 80dh
11&amp;12/2021 280dh
01 à 07/2022 980dh
08/2022 60dh</t>
        </r>
      </text>
    </comment>
    <comment ref="M144" authorId="0" shapeId="0" xr:uid="{4BAE2B15-D95A-4FC1-9744-E8A61A903B67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80dh/08/22
560dh/09 à 12/22
payé le 05/11/22</t>
        </r>
      </text>
    </comment>
    <comment ref="D145" authorId="0" shapeId="0" xr:uid="{8526C805-2BC4-471A-8DDD-3E9A3A5E8A71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 &amp; 02/2022</t>
        </r>
      </text>
    </comment>
    <comment ref="E145" authorId="0" shapeId="0" xr:uid="{4F49B749-B780-4018-80AE-CE22E559E10E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 &amp; 04/2022</t>
        </r>
      </text>
    </comment>
    <comment ref="G145" authorId="0" shapeId="0" xr:uid="{B52FBF8F-91FA-4C38-A11E-54CDDC6E202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05 &amp; 06/2022</t>
        </r>
      </text>
    </comment>
    <comment ref="H145" authorId="0" shapeId="0" xr:uid="{7F740E83-E97D-4E55-987B-BA6678FBE7E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07 &amp; 08/22</t>
        </r>
      </text>
    </comment>
    <comment ref="J145" authorId="0" shapeId="0" xr:uid="{D3624AD7-0A0E-4754-A877-2D51285EAEA1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09 &amp; 10/22 payé le 09/08/22</t>
        </r>
      </text>
    </comment>
    <comment ref="M145" authorId="0" shapeId="0" xr:uid="{63A657B4-C020-4C3E-9965-DD10A3D1D58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11 &amp; 12/2022
payé le 30/11/22</t>
        </r>
      </text>
    </comment>
    <comment ref="O145" authorId="0" shapeId="0" xr:uid="{F40FE39B-B74A-457D-9749-C2A6079F7CB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année 2022
payé le 09/08/2022</t>
        </r>
      </text>
    </comment>
    <comment ref="D146" authorId="0" shapeId="0" xr:uid="{80E59151-08C2-4ABE-9AE2-1A2032D09489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09 à 12/2021
01/2022</t>
        </r>
      </text>
    </comment>
    <comment ref="I146" authorId="0" shapeId="0" xr:uid="{26B531F0-566B-4522-83A7-5E616A4F24C1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02 à 06/2022
payé le 21/07/22</t>
        </r>
      </text>
    </comment>
    <comment ref="N146" authorId="0" shapeId="0" xr:uid="{52F98ACE-344E-4FEC-96D6-35BDCC90E98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07 à 11/2022
payé le 29/12/22</t>
        </r>
      </text>
    </comment>
    <comment ref="D147" authorId="0" shapeId="0" xr:uid="{FF468FAE-7223-402E-A6DC-8298D814D66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09/21 =60
10;11 &amp; 12/21 =420
01/22=140
02/22=10 </t>
        </r>
      </text>
    </comment>
    <comment ref="H147" authorId="0" shapeId="0" xr:uid="{65AA1099-C047-44CA-8B61-5B5FDABC481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130dh/02/22
700dh/03 à 07/22
payé le 30/06/22</t>
        </r>
      </text>
    </comment>
    <comment ref="M147" authorId="0" shapeId="0" xr:uid="{36F81B49-22D5-4230-AEDF-0AC7E5C4DD0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08 à 12/2022
payé le 08/11/22</t>
        </r>
      </text>
    </comment>
    <comment ref="C148" authorId="0" shapeId="0" xr:uid="{AAE45CDC-3479-4FEB-80FC-1438BA8755C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11 &amp; 12/2021</t>
        </r>
      </text>
    </comment>
    <comment ref="E148" authorId="0" shapeId="0" xr:uid="{FB4FE9F1-EFDD-45A7-A0C1-1CA865120EA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 &amp; 02/2022</t>
        </r>
      </text>
    </comment>
    <comment ref="G148" authorId="0" shapeId="0" xr:uid="{F1D6C38D-BF89-43C6-8E7C-3EE2ECED0D5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03; 04 &amp; 05/2022
payé le 31/05/22</t>
        </r>
      </text>
    </comment>
    <comment ref="I148" authorId="0" shapeId="0" xr:uid="{7943D17B-49D4-4CC0-A764-BA766F2412B9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06/22 payé le 05/07/22</t>
        </r>
      </text>
    </comment>
    <comment ref="K148" authorId="0" shapeId="0" xr:uid="{89FACB43-F044-4E69-9CBD-416E1278B4D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07 &amp; 08/2022
payé le 24/06/22</t>
        </r>
      </text>
    </comment>
    <comment ref="L148" authorId="0" shapeId="0" xr:uid="{298F5302-1E1A-4C18-8D75-2A1B5FCA64B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09/22 payé le 18/10/22</t>
        </r>
      </text>
    </comment>
    <comment ref="N148" authorId="0" shapeId="0" xr:uid="{41D9AC39-F47E-4B8F-8364-6BC9F2190F8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10; 11 &amp; 12/2022
payé le 13/12/22</t>
        </r>
      </text>
    </comment>
    <comment ref="C149" authorId="0" shapeId="0" xr:uid="{98A5127C-1386-415D-90A9-12C44B749AA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360dh reliquat 2020
1800dh année 2021</t>
        </r>
      </text>
    </comment>
    <comment ref="H149" authorId="0" shapeId="0" xr:uid="{611E3B21-798C-4473-9A8A-3B154508DD6E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virement du 02/06/22
année 2022</t>
        </r>
      </text>
    </comment>
    <comment ref="O149" authorId="0" shapeId="0" xr:uid="{1AEC37AA-3734-4CF9-A138-02E186D5F8A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années 2021 payé par virement du 18/01/2022
année 2022 par virement du 02/06/2022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Syndic Intellak II</author>
  </authors>
  <commentList>
    <comment ref="E6" authorId="0" shapeId="0" xr:uid="{3C07CAAF-594F-4E1A-AC25-473EAA130A7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02 &amp; 03/2023</t>
        </r>
      </text>
    </comment>
    <comment ref="G6" authorId="0" shapeId="0" xr:uid="{C21D9351-BFCA-44B5-A544-4CB95FA7C10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04 &amp; 05/2023
payé le 13/05/23</t>
        </r>
      </text>
    </comment>
    <comment ref="J6" authorId="0" shapeId="0" xr:uid="{03F1A87E-A28E-4904-AF87-5EE2A20CCDCE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juin &amp; juillet 2023
payé le 15/08/2023</t>
        </r>
      </text>
    </comment>
    <comment ref="M6" authorId="0" shapeId="0" xr:uid="{624B124C-8124-481F-B44F-09A77EB0D29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AOUT, SEPT &amp; OCT 23
Payé le18/11/2023</t>
        </r>
      </text>
    </comment>
    <comment ref="E7" authorId="0" shapeId="0" xr:uid="{AC98DCBD-C72F-4F92-B898-4260D641006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02 &amp; 03/2023</t>
        </r>
      </text>
    </comment>
    <comment ref="G7" authorId="0" shapeId="0" xr:uid="{77E3604B-DF80-4D7C-B231-19D23AD1D3C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04/2023
payé le 09/05/23</t>
        </r>
      </text>
    </comment>
    <comment ref="H7" authorId="0" shapeId="0" xr:uid="{1F45760A-BDC1-4E55-9A1E-21F38C6A5DF7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05/2023
payé le 08/06/23</t>
        </r>
      </text>
    </comment>
    <comment ref="I7" authorId="0" shapeId="0" xr:uid="{F13DE8E4-7146-448F-B317-6119D56CFBF0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06 &amp; 07/2023
payé le 29/07/2023</t>
        </r>
      </text>
    </comment>
    <comment ref="K7" authorId="0" shapeId="0" xr:uid="{4DC4F80C-122C-4F36-BCD8-5D24AC1F228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Aout &amp; Septembre 2023
Payé le 24/09/2023</t>
        </r>
      </text>
    </comment>
    <comment ref="M8" authorId="0" shapeId="0" xr:uid="{F92734EC-A4BD-4640-9CFE-5EA998C8963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Aout 2022 à Fevrier 2023 soit 7 mois
Payé le 04/11/2023</t>
        </r>
      </text>
    </comment>
    <comment ref="I9" authorId="0" shapeId="0" xr:uid="{361A8297-7E1A-4F87-A6D2-B71AE59B359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06/2023 payé le 05/7/23</t>
        </r>
      </text>
    </comment>
    <comment ref="J9" authorId="0" shapeId="0" xr:uid="{28E3806D-DBB9-4DBB-BDB4-F8F3450C160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juillet 2023
payé le 04/08/23</t>
        </r>
      </text>
    </comment>
    <comment ref="K9" authorId="0" shapeId="0" xr:uid="{96CC6771-E469-4F0E-87AB-310D52B3BF2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Aout 2023
payé le 09/09/23
septembre payé le 30/09/2023</t>
        </r>
      </text>
    </comment>
    <comment ref="D10" authorId="0" shapeId="0" xr:uid="{FA57C52D-7D9F-47C1-9D4E-673F06C850B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12/2022
payé le 06/02/2023</t>
        </r>
      </text>
    </comment>
    <comment ref="F10" authorId="0" shapeId="0" xr:uid="{A84C6882-15BF-466A-84E5-1BD2CC2C26E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 &amp; 02/2023
payé le 03/04/23</t>
        </r>
      </text>
    </comment>
    <comment ref="H10" authorId="0" shapeId="0" xr:uid="{5B8038EA-9132-442A-96F3-7AC99C482E7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 &amp; 04/2023
payé le 17/06/23
05/2023 payé le 26/6/23</t>
        </r>
      </text>
    </comment>
    <comment ref="K10" authorId="0" shapeId="0" xr:uid="{AE9342CD-7538-486E-A45E-3DB4CAF0DE37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juin &amp; juillet 2023
payé le 02/09/23</t>
        </r>
      </text>
    </comment>
    <comment ref="L10" authorId="0" shapeId="0" xr:uid="{3CA99414-13AF-41ED-8E4F-D3E97F5942E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Aout &amp; Septembre 2023
Payé le 13/10/23</t>
        </r>
      </text>
    </comment>
    <comment ref="K11" authorId="0" shapeId="0" xr:uid="{4E250379-AB2B-40C0-867A-D793A861A17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Année 2023
payé le 05/09/2023</t>
        </r>
      </text>
    </comment>
    <comment ref="C12" authorId="0" shapeId="0" xr:uid="{2DFAC6B4-5565-4B1D-90FD-EDB7FEA49767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11 &amp; 12/2022</t>
        </r>
      </text>
    </comment>
    <comment ref="E12" authorId="0" shapeId="0" xr:uid="{4F49EA3F-8A08-4C35-B290-885F1ADB1589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 &amp; 02/2023</t>
        </r>
      </text>
    </comment>
    <comment ref="H12" authorId="0" shapeId="0" xr:uid="{827626BD-19C0-4538-BBBE-0EAAB03A4EFA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 &amp; 04/2023
payé le 09/06/23</t>
        </r>
      </text>
    </comment>
    <comment ref="K12" authorId="0" shapeId="0" xr:uid="{989CE665-7922-4ACE-8406-CF8D63A74099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Mai 2023
Payé le 18/09/23</t>
        </r>
      </text>
    </comment>
    <comment ref="L12" authorId="0" shapeId="0" xr:uid="{B0DAD9E6-EF0E-4C85-B59A-9569D6B1993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Juin &amp; Juillet 2023
Payé le 04/10/23</t>
        </r>
      </text>
    </comment>
    <comment ref="M12" authorId="0" shapeId="0" xr:uid="{52AFB6A2-2B65-4DA8-A4D7-024E2C561FC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Aout &amp; Septembre 23
Payé le 05/11/2023</t>
        </r>
      </text>
    </comment>
    <comment ref="C13" authorId="0" shapeId="0" xr:uid="{02FFD0F9-8BEE-4E04-B486-D064EF33CC9E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12/2022</t>
        </r>
      </text>
    </comment>
    <comment ref="D13" authorId="0" shapeId="0" xr:uid="{759200E8-93A0-4F01-B152-EFCCABD10B0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 &amp; 02/2023</t>
        </r>
      </text>
    </comment>
    <comment ref="F13" authorId="0" shapeId="0" xr:uid="{E7D10C33-16D0-4E93-A0E8-3921818D125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03/2023</t>
        </r>
      </text>
    </comment>
    <comment ref="G13" authorId="0" shapeId="0" xr:uid="{B62980FA-253B-4BD6-BFA8-7E233A215777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04 &amp; 05/2023
payé le 31/05/23
</t>
        </r>
      </text>
    </comment>
    <comment ref="I13" authorId="0" shapeId="0" xr:uid="{3FDA69A5-C38E-4060-978E-B0445424A24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juin 2023 payé le 29/0
7/2023
juillet payé le 31/07/23</t>
        </r>
      </text>
    </comment>
    <comment ref="M13" authorId="0" shapeId="0" xr:uid="{E82F0A18-9B33-467A-B8FD-442561B9B27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Septemb &amp; Otob 2023
Payé le 09/11/23</t>
        </r>
      </text>
    </comment>
    <comment ref="C14" authorId="0" shapeId="0" xr:uid="{08C17904-E883-4E81-AB6A-19FFD9ED9DC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10;11 &amp; 12/2022</t>
        </r>
      </text>
    </comment>
    <comment ref="D14" authorId="0" shapeId="0" xr:uid="{3201F676-557C-43C0-A1C2-4C848E5E300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 &amp; 02/2023</t>
        </r>
      </text>
    </comment>
    <comment ref="I14" authorId="0" shapeId="0" xr:uid="{F4230B21-4AAB-4CCD-9326-CF21B29F4EEA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05 &amp; 06/2023
payé le 03/07/23</t>
        </r>
      </text>
    </comment>
    <comment ref="J14" authorId="0" shapeId="0" xr:uid="{38096FA1-78CA-478C-A8C9-227B7BB5DE2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juillet 2023
payé le 05/08/23
Aout payé 27/8/23</t>
        </r>
      </text>
    </comment>
    <comment ref="L14" authorId="0" shapeId="0" xr:uid="{26D3F90A-2CDC-4E71-82D7-C51F1AEA45D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septembre 2023
Payé le 04/10/23
octobre 2023
Payé le 30/10/23</t>
        </r>
      </text>
    </comment>
    <comment ref="C15" authorId="0" shapeId="0" xr:uid="{E1477F89-E517-4FA4-ADA4-4516822ED64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12/2022</t>
        </r>
      </text>
    </comment>
    <comment ref="D15" authorId="0" shapeId="0" xr:uid="{37B9B5B4-4041-44F0-8D24-B4616FA1600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01/2023</t>
        </r>
      </text>
    </comment>
    <comment ref="E15" authorId="0" shapeId="0" xr:uid="{820438BD-12F6-4D45-A615-0641B47F520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02/2023 &amp; 03/2023</t>
        </r>
      </text>
    </comment>
    <comment ref="G15" authorId="0" shapeId="0" xr:uid="{D5C5C534-0F3D-45B4-9086-9C90F43682E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05/2023
payé le 31/05/23</t>
        </r>
      </text>
    </comment>
    <comment ref="J15" authorId="0" shapeId="0" xr:uid="{93039A7E-8D91-4A1D-AD49-C331129AC9E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juin &amp; juillet 2023
payé le 20/08/20233</t>
        </r>
      </text>
    </comment>
    <comment ref="K15" authorId="0" shapeId="0" xr:uid="{1B613655-30B5-42B1-88AB-C046B0BA88B0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Aout 2023
payé le 09/09/23</t>
        </r>
      </text>
    </comment>
    <comment ref="L15" authorId="0" shapeId="0" xr:uid="{52BB3006-C315-470E-87AC-CB54240D28D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septembre 2023 
Payé le 01/10/23</t>
        </r>
      </text>
    </comment>
    <comment ref="M15" authorId="0" shapeId="0" xr:uid="{16016F1D-39BC-474E-8D30-930DE2A2A64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Octobre 2023
Payé le 11/11/2023</t>
        </r>
      </text>
    </comment>
    <comment ref="M16" authorId="0" shapeId="0" xr:uid="{A06D3CA0-F7E2-41A9-87F0-AFE7C415B70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Décembre 2023 à fin Novembre 2024
Payé le 11/11/23</t>
        </r>
      </text>
    </comment>
    <comment ref="F17" authorId="0" shapeId="0" xr:uid="{F4602B06-422D-44E5-9553-8CDE8ABFBAA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1er semestre 2023
payé le 08/04/2023</t>
        </r>
      </text>
    </comment>
    <comment ref="K17" authorId="0" shapeId="0" xr:uid="{46A4D134-7D59-4955-A515-A8316FC11C99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2ième semestre 2023
payé le 09/09/23</t>
        </r>
      </text>
    </comment>
    <comment ref="D18" authorId="0" shapeId="0" xr:uid="{9F44A6D4-5D4D-49C5-88D7-DD598784605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02 &amp; 03/2023</t>
        </r>
      </text>
    </comment>
    <comment ref="G18" authorId="0" shapeId="0" xr:uid="{16128126-DAA9-4B8C-88C5-44DA65ED178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05 &amp; 06/2023
payé le 10/05/23</t>
        </r>
      </text>
    </comment>
    <comment ref="I18" authorId="0" shapeId="0" xr:uid="{FA538D4A-16B7-430C-9045-F9732C6E180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07 &amp; 08/2023 payé le 01/07/2023</t>
        </r>
      </text>
    </comment>
    <comment ref="J18" authorId="0" shapeId="0" xr:uid="{3FFB5409-1C31-45B2-9255-70915E1A646A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septembre 2023
payé le 08/08/2023</t>
        </r>
      </text>
    </comment>
    <comment ref="K18" authorId="0" shapeId="0" xr:uid="{5DB8BA06-33AE-4F8F-B662-729C4D11F44E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Octobre &amp; Novembre 23
Payé le 30/09/2023</t>
        </r>
      </text>
    </comment>
    <comment ref="O18" authorId="0" shapeId="0" xr:uid="{7A24728F-1EFD-4BB6-AD77-0E65C2C47D7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années 2021 ; 2022 &amp; 2023
payé le 08/08/2023</t>
        </r>
      </text>
    </comment>
    <comment ref="H19" authorId="0" shapeId="0" xr:uid="{9498D547-9028-46DB-8A13-F820776F4811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année 2022 +
 1er semestre 2023
payé le 15/06/23</t>
        </r>
      </text>
    </comment>
    <comment ref="C20" authorId="0" shapeId="0" xr:uid="{1CC8521C-1571-428F-8AD1-6677B5777A07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12/2022</t>
        </r>
      </text>
    </comment>
    <comment ref="D20" authorId="0" shapeId="0" xr:uid="{29ED0E23-BE28-40AE-BA51-FF01CE6A6CF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01/2023</t>
        </r>
      </text>
    </comment>
    <comment ref="E20" authorId="0" shapeId="0" xr:uid="{79F02098-29DF-47DB-99E9-29C43DE0533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02/2023</t>
        </r>
      </text>
    </comment>
    <comment ref="F20" authorId="0" shapeId="0" xr:uid="{E19C4E0C-7FAD-420B-A308-BFC94009185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03/2023</t>
        </r>
      </text>
    </comment>
    <comment ref="G20" authorId="0" shapeId="0" xr:uid="{9C54A4C8-F82E-4691-85BC-AE608CFCF97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04/2023</t>
        </r>
      </text>
    </comment>
    <comment ref="H20" authorId="0" shapeId="0" xr:uid="{ACD76FFB-B5A1-45D0-AE75-3477E3EBBD3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05/2023
payé le 14/06/23</t>
        </r>
      </text>
    </comment>
    <comment ref="I20" authorId="0" shapeId="0" xr:uid="{5DDA9F47-2A0A-4D4D-8A4C-8FBEE87A1547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06/2023 payé le 10/7/23
07/2023 payé le 31/7/23</t>
        </r>
      </text>
    </comment>
    <comment ref="K20" authorId="0" shapeId="0" xr:uid="{4B4475C0-2BAF-424F-9EA7-B0CB38BEE9F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Aout 2023
Payé le 13/09/2023</t>
        </r>
      </text>
    </comment>
    <comment ref="L20" authorId="0" shapeId="0" xr:uid="{748A9A8E-874A-424A-8F7A-DFA04E0AEA6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Septembre 2023
Payé le 12/10/23
Octobre 2023
Payé le 31/10/23</t>
        </r>
      </text>
    </comment>
    <comment ref="F21" authorId="0" shapeId="0" xr:uid="{6154D77E-DC2B-431C-82F7-FBD239E7FBA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03/2023</t>
        </r>
      </text>
    </comment>
    <comment ref="G21" authorId="0" shapeId="0" xr:uid="{787C695D-AC68-41DD-8CFB-B379F00F639A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04/2023 &amp; 05/2023
payé les 03 &amp; 31/05/23</t>
        </r>
      </text>
    </comment>
    <comment ref="I21" authorId="0" shapeId="0" xr:uid="{9FCFE8E7-BEDA-406C-A955-CBFA4736BB0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06/2023 payé le 14/7/23</t>
        </r>
      </text>
    </comment>
    <comment ref="J21" authorId="0" shapeId="0" xr:uid="{9993034A-0AEB-4F24-BA97-C98E686876C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juillet 2023
payé le 01/08/2023
aout payé le 29/8/23</t>
        </r>
      </text>
    </comment>
    <comment ref="F23" authorId="0" shapeId="0" xr:uid="{8F877709-BA4A-439A-BEB4-10EF653FA007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BP: CRB 7085060 du 03/04/23
année 2023</t>
        </r>
      </text>
    </comment>
    <comment ref="H24" authorId="0" shapeId="0" xr:uid="{79B6A146-57D0-46B3-95D3-08AD016C385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de 09/2022 à 06/2023
payé le 14/06/23</t>
        </r>
      </text>
    </comment>
    <comment ref="G25" authorId="0" shapeId="0" xr:uid="{2A7E6B33-8241-419E-B494-0CD222376B51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 à 05/2023
payé le 24/05/23</t>
        </r>
      </text>
    </comment>
    <comment ref="K25" authorId="0" shapeId="0" xr:uid="{E8FAA091-6A7A-470F-A19B-46DE566C3FA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juin à septembre 2023
payé le 01/09/23</t>
        </r>
      </text>
    </comment>
    <comment ref="C32" authorId="0" shapeId="0" xr:uid="{04765595-00B1-4B65-93CA-A53F4CA84C0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12/2022 &amp; 01/2023</t>
        </r>
      </text>
    </comment>
    <comment ref="E32" authorId="0" shapeId="0" xr:uid="{EE79F0DB-720A-414E-94C0-7E5A727551D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02 &amp; 03/2023</t>
        </r>
      </text>
    </comment>
    <comment ref="G32" authorId="0" shapeId="0" xr:uid="{3070B65D-21AD-4D4C-BCE0-E0468D73DCD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04/2023
payé le 18/05/23</t>
        </r>
      </text>
    </comment>
    <comment ref="H32" authorId="0" shapeId="0" xr:uid="{0C34B4CD-4113-44A4-8A48-9FD93DE3E01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05/2023
payé le 02/06/23</t>
        </r>
      </text>
    </comment>
    <comment ref="I32" authorId="0" shapeId="0" xr:uid="{8A30E809-063D-49F8-86FE-FA5585789CF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06/2023 payé le 25/7/23</t>
        </r>
      </text>
    </comment>
    <comment ref="J32" authorId="0" shapeId="0" xr:uid="{28446547-DE68-4180-B586-D8A9BC85528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juillet 2023
payé le 18/08/2023</t>
        </r>
      </text>
    </comment>
    <comment ref="L32" authorId="0" shapeId="0" xr:uid="{4CF37A25-A417-47C4-9716-A2DB60208750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Aout &amp; Septembre 2023
Payé le 21/10/23</t>
        </r>
      </text>
    </comment>
    <comment ref="O32" authorId="0" shapeId="0" xr:uid="{5E0FA894-81FF-4C2F-B808-A49D0FD5074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années 2021 &amp; 2022
payé le 18/05/2023</t>
        </r>
      </text>
    </comment>
    <comment ref="D35" authorId="0" shapeId="0" xr:uid="{607FE676-28D3-4BE1-9411-A72212EEF72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11 &amp;12/2022 
01/2023</t>
        </r>
      </text>
    </comment>
    <comment ref="E35" authorId="0" shapeId="0" xr:uid="{32B582C3-8815-4BAF-A074-1434E53453D0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02/2023
03/2023</t>
        </r>
      </text>
    </comment>
    <comment ref="H35" authorId="0" shapeId="0" xr:uid="{6093E1D5-CBAE-4EDD-B18E-BE110950DDC1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04 &amp; 05/2023
payé le 15/06/23</t>
        </r>
      </text>
    </comment>
    <comment ref="K35" authorId="0" shapeId="0" xr:uid="{C8077BF7-6C04-4BAA-9CE7-1B97D46B8B50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Juin &amp; Juillet 2023
Payé le 16/09/2023</t>
        </r>
      </text>
    </comment>
    <comment ref="M35" authorId="0" shapeId="0" xr:uid="{6DEDED37-1974-48F0-9EBB-31C8924F8AA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AOUT 1 SEPTEMB 2023
PAYE LE 15/11/23</t>
        </r>
      </text>
    </comment>
    <comment ref="C36" authorId="0" shapeId="0" xr:uid="{D8A5702F-45CC-4B10-ADBB-DDC87EABC217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12/2022</t>
        </r>
      </text>
    </comment>
    <comment ref="D36" authorId="0" shapeId="0" xr:uid="{EAE56605-7B1D-4878-B11F-D1EC4934C88E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01/2023 &amp; 02/2023</t>
        </r>
      </text>
    </comment>
    <comment ref="F36" authorId="0" shapeId="0" xr:uid="{210AA48E-9C72-49CE-B5EF-26AF28BE522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03/2023</t>
        </r>
      </text>
    </comment>
    <comment ref="H36" authorId="0" shapeId="0" xr:uid="{745DB28E-DB4C-41BA-BA13-F72462DE712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04/2023
payé le 06/06/23
05/2023
payé le 19/06/23</t>
        </r>
      </text>
    </comment>
    <comment ref="J36" authorId="0" shapeId="0" xr:uid="{1C76B3EB-B338-4D82-8E41-E6C4D3C98ED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06 &amp; 07/2023
payé le 09/08/2023
Aout 2023 payé le 31/08/2023</t>
        </r>
      </text>
    </comment>
    <comment ref="L36" authorId="0" shapeId="0" xr:uid="{1460656A-D876-498A-985C-8DD50F8EE02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septembre 2023
Payé le 01/10/23
octobre 2023
Payé le 30/10/23</t>
        </r>
      </text>
    </comment>
    <comment ref="O36" authorId="0" shapeId="0" xr:uid="{EA9139D6-D04E-4636-9016-DF9CEEFEE2D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années 2020;2021; 2022 &amp; 2023
payé le 27/04/23</t>
        </r>
      </text>
    </comment>
    <comment ref="E37" authorId="0" shapeId="0" xr:uid="{FE87F19F-2C20-47B9-B6D4-380E6493E97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de 03 à 12/2022
et 01 &amp; 02/2023
payé le 16/03/23</t>
        </r>
      </text>
    </comment>
    <comment ref="O37" authorId="0" shapeId="0" xr:uid="{022CDDE2-7E51-4017-8F4A-355A3FAE5520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année 2022
payé le 16/03/2023</t>
        </r>
      </text>
    </comment>
    <comment ref="G38" authorId="0" shapeId="0" xr:uid="{BB5C808A-EC2B-4EB7-BAAB-47FB52977A4A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 à 04/2023
payé le 09/05/23</t>
        </r>
      </text>
    </comment>
    <comment ref="H38" authorId="0" shapeId="0" xr:uid="{9456A290-8169-486F-8A15-FB02FC945210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05/2023
payé le 08/06/23</t>
        </r>
      </text>
    </comment>
    <comment ref="J38" authorId="0" shapeId="0" xr:uid="{03BC0B66-ED76-43D4-8B99-FEF9EF0552EA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06; 07 &amp; 08/2023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payé le 01/08/2023</t>
        </r>
      </text>
    </comment>
    <comment ref="L38" authorId="0" shapeId="0" xr:uid="{1DD5DE3C-5766-48FB-B87B-0EC3082D89E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Septembre - Octobre 23
Payé le 19/10/23</t>
        </r>
      </text>
    </comment>
    <comment ref="O38" authorId="0" shapeId="0" xr:uid="{44B06C69-7BD0-4F60-B18E-07E72D082A8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Années 2021, 2022, 2023
Payé le 19/10/2023</t>
        </r>
      </text>
    </comment>
    <comment ref="C39" authorId="0" shapeId="0" xr:uid="{2E3A4B28-8CF5-4547-B34A-10FC94564580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BP: COC 7439562 du 23/01/2023
Année 2022</t>
        </r>
      </text>
    </comment>
    <comment ref="I39" authorId="0" shapeId="0" xr:uid="{7F9838E6-8BD4-4B21-9BF4-080224A90AAE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chèque BP AAA1050006 du 18/07/23
Année 2023</t>
        </r>
      </text>
    </comment>
    <comment ref="K40" authorId="0" shapeId="0" xr:uid="{0935968B-A8C7-4CC3-931F-34D3016A500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Septembre 2022 à fin Septembre 2023
Payé le 19/2023</t>
        </r>
      </text>
    </comment>
    <comment ref="E41" authorId="0" shapeId="0" xr:uid="{33BE389E-FB98-45AD-8012-502400C6EBD3}">
      <text>
        <r>
          <rPr>
            <b/>
            <sz val="9"/>
            <color indexed="81"/>
            <rFont val="Tahoma"/>
            <family val="2"/>
          </rPr>
          <t xml:space="preserve">Syndic Intellak II:
</t>
        </r>
        <r>
          <rPr>
            <sz val="9"/>
            <color indexed="81"/>
            <rFont val="Tahoma"/>
            <family val="2"/>
          </rPr>
          <t>01 à 04/2023
payé le 14/03/23</t>
        </r>
      </text>
    </comment>
    <comment ref="H41" authorId="0" shapeId="0" xr:uid="{F3C6AAFD-6452-46EC-B79F-C22929538F8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05 à 09/2023
payé le 08/06/23</t>
        </r>
      </text>
    </comment>
    <comment ref="K41" authorId="0" shapeId="0" xr:uid="{4952E588-4C46-40E7-BC00-9D996042917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octobre 2023 à Mars 2024 
Payé le 02/09/2023</t>
        </r>
      </text>
    </comment>
    <comment ref="I42" authorId="0" shapeId="0" xr:uid="{607485BF-56EF-458D-A482-96606812CBD7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chque CAM/BLB 4974024 du 25/07/23
2ème semestre 2023</t>
        </r>
      </text>
    </comment>
    <comment ref="O42" authorId="0" shapeId="0" xr:uid="{BA26705E-F9E0-4310-B0BB-243195C978C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chque CAM/ BLB 4974020 du 25/07/23
éléctricité garage 2023</t>
        </r>
      </text>
    </comment>
    <comment ref="H43" authorId="0" shapeId="0" xr:uid="{7A40B599-EB95-4525-BCDC-A3763921E959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année 2023 payé le 17/06/23</t>
        </r>
      </text>
    </comment>
    <comment ref="O43" authorId="0" shapeId="0" xr:uid="{3F5817CF-0F4B-4876-8494-753963F7C639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année 2023
payé le 17/06/2023</t>
        </r>
      </text>
    </comment>
    <comment ref="C44" authorId="0" shapeId="0" xr:uid="{4D217CE7-7598-47E2-8735-1DC83A62B37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BP: CPB 2757066 du 31/12/2022
1er semestre 2023</t>
        </r>
      </text>
    </comment>
    <comment ref="M44" authorId="0" shapeId="0" xr:uid="{9D9C7E87-B2D6-4FF7-9C47-C2DDCAD7158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2ième semestre 2023
chque BP CPB N°2757071 du 23/11/2023</t>
        </r>
      </text>
    </comment>
    <comment ref="O44" authorId="0" shapeId="0" xr:uid="{928C1C96-33D7-4110-A371-8F45555853B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eléctricité garage: 
années :2019 à 2022 &amp;
année 2023</t>
        </r>
      </text>
    </comment>
    <comment ref="F45" authorId="0" shapeId="0" xr:uid="{5C705181-6F1C-4441-AA9D-B1CC9690F43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BMCI MGC 9915673 du 17/04/2023
1er semestre 2023</t>
        </r>
      </text>
    </comment>
    <comment ref="L45" authorId="0" shapeId="0" xr:uid="{BA163DDE-F6A5-4945-9502-A250AF6CB2C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2ième semestre 2023
chque BMCI MGC 9915678 du 09/10/23</t>
        </r>
      </text>
    </comment>
    <comment ref="O45" authorId="0" shapeId="0" xr:uid="{F9D68499-A5D8-4788-A03C-E97800C9523E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Année 223 payé par chque BMCI MGC 9915678 du 09/10/23</t>
        </r>
      </text>
    </comment>
    <comment ref="C46" authorId="0" shapeId="0" xr:uid="{D909FD3E-05A6-4CF4-BA0B-00847400DF0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12/2022</t>
        </r>
      </text>
    </comment>
    <comment ref="D46" authorId="0" shapeId="0" xr:uid="{9A16DA2A-712F-4010-BA34-5A66582D603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 &amp; 02/2023</t>
        </r>
      </text>
    </comment>
    <comment ref="F46" authorId="0" shapeId="0" xr:uid="{F370C529-E63F-4F8F-A62A-22CE7A6B626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03/2023
payé le 23/04/23</t>
        </r>
      </text>
    </comment>
    <comment ref="G46" authorId="0" shapeId="0" xr:uid="{301A73F3-B776-45D2-8446-E7DDD9F3FEA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04 &amp; 05/2023
payé le 31/05/23
</t>
        </r>
      </text>
    </comment>
    <comment ref="I46" authorId="0" shapeId="0" xr:uid="{B2C0181F-D553-4362-888B-27CD0CD56D8E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juin 2023 payé le 29/07/2023
juillet payé le 31/07/23</t>
        </r>
      </text>
    </comment>
    <comment ref="M46" authorId="0" shapeId="0" xr:uid="{1A3ADC9F-99EF-4E4C-B595-D06EC391C47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Septemb &amp; Octob 2023
Payé le 09/11/23</t>
        </r>
      </text>
    </comment>
    <comment ref="O46" authorId="0" shapeId="0" xr:uid="{F7E41C5D-C46B-4C08-9C54-27570A93430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années: 2019; 2020; 2021 &amp; 2022
payé le 06/04/2023
2023 payé le 31/07/23</t>
        </r>
      </text>
    </comment>
    <comment ref="C47" authorId="0" shapeId="0" xr:uid="{B42372C9-C450-4B82-933A-91C3BB772E49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CIH: TDB 2703522 du 18/01/2023 
1er semestre  2023</t>
        </r>
      </text>
    </comment>
    <comment ref="I47" authorId="0" shapeId="0" xr:uid="{1F84168A-B8E7-4944-8B90-4CD12945A469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chque CIH TDB 2703523 du 27/07/23
2ème semestre 2023</t>
        </r>
      </text>
    </comment>
    <comment ref="O47" authorId="0" shapeId="0" xr:uid="{FCFA5E44-BAAB-492F-8E1C-6DBEC0EF851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chque CIH TDB 2703523 du 27/07/23
élec garage 2023</t>
        </r>
      </text>
    </comment>
    <comment ref="H48" authorId="0" shapeId="0" xr:uid="{F9F81C56-81A7-43F8-ABAE-951AA387E27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02 à 06/2023
payé le 26/06/2023</t>
        </r>
      </text>
    </comment>
    <comment ref="M48" authorId="0" shapeId="0" xr:uid="{ABF12532-E4BA-40B6-85B2-576B8598366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Juillet à décembre 2023
Payé le 27/11/23</t>
        </r>
      </text>
    </comment>
    <comment ref="C56" authorId="0" shapeId="0" xr:uid="{291D305D-BB25-43DF-B87D-D89E436A456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cotisations mois: 11 &amp; 12/2022 et 01/2023 payées le 31/801/2023 </t>
        </r>
      </text>
    </comment>
    <comment ref="G56" authorId="0" shapeId="0" xr:uid="{81B617BF-D7C9-419E-BF93-C0DE75A0AFB7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02 ; 03 &amp; 04/2023
payé le 08/05/23</t>
        </r>
      </text>
    </comment>
    <comment ref="J56" authorId="0" shapeId="0" xr:uid="{0E29FB25-3DA4-45B4-9074-8CDE6AE7C518}">
      <text>
        <r>
          <rPr>
            <b/>
            <sz val="11"/>
            <color indexed="81"/>
            <rFont val="Tahoma"/>
            <family val="2"/>
          </rPr>
          <t>Syndic Intellak II:</t>
        </r>
        <r>
          <rPr>
            <sz val="11"/>
            <color indexed="81"/>
            <rFont val="Tahoma"/>
            <family val="2"/>
          </rPr>
          <t xml:space="preserve">
05; 06 &amp; 07/2023
payé le 07/08/23</t>
        </r>
      </text>
    </comment>
    <comment ref="C57" authorId="0" shapeId="0" xr:uid="{71AECFC0-13DD-4BC8-8BAB-AE261778790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cotisations mois 11&amp;12/2022 payées le 30/01/2023</t>
        </r>
      </text>
    </comment>
    <comment ref="D57" authorId="0" shapeId="0" xr:uid="{778BD2E3-2A52-4227-98FF-B14053FD9DBA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mois :01&amp;02/2023 payées le 28/02/23</t>
        </r>
      </text>
    </comment>
    <comment ref="E57" authorId="0" shapeId="0" xr:uid="{3E398D9C-2554-4D1A-ACA7-E331C1E6A1A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 &amp; 04/203
payé le 23/03/2023</t>
        </r>
      </text>
    </comment>
    <comment ref="F57" authorId="0" shapeId="0" xr:uid="{9E2EDC03-8F77-4361-B7F1-2925BD3662EE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05 &amp; 06/2023
payé le 26/04/2023</t>
        </r>
      </text>
    </comment>
    <comment ref="G57" authorId="0" shapeId="0" xr:uid="{8866BB88-BE14-422B-BD54-A87D09A9BD9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07 &amp; 08/2023
payé le 24/05/23</t>
        </r>
      </text>
    </comment>
    <comment ref="I57" authorId="0" shapeId="0" xr:uid="{D7BE87EE-619A-469A-AB35-64303D90A0F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09 &amp; 10/2023
payé le 06/07/23</t>
        </r>
      </text>
    </comment>
    <comment ref="C58" authorId="0" shapeId="0" xr:uid="{F60E5E0B-E8E3-411A-8AE9-41D71E18D62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cotisations mois: 10;11 &amp; 12/ 2022 payées le 02/01/2023
</t>
        </r>
      </text>
    </comment>
    <comment ref="D58" authorId="0" shapeId="0" xr:uid="{CF31F2DE-8110-44C0-B97F-08A9335E12A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cotisations mois: 01&amp;02/2023 payées le 27/02/2023</t>
        </r>
      </text>
    </comment>
    <comment ref="H58" authorId="0" shapeId="0" xr:uid="{9B8D0837-F257-4089-A93A-7A97016BA9D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03;04;05 &amp; 06/2023
payé le 17/06/23</t>
        </r>
      </text>
    </comment>
    <comment ref="K58" authorId="0" shapeId="0" xr:uid="{4B59767C-39C4-4165-9BD6-BAE36AF5418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Juillet &amp; Aout 2023
Payé le 18/09/2023</t>
        </r>
      </text>
    </comment>
    <comment ref="M58" authorId="0" shapeId="0" xr:uid="{869C3A23-1270-4B96-9028-411D8D5B32A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SEPT, OCT &amp; NOV 2023
PAYE LE 13/11/23</t>
        </r>
      </text>
    </comment>
    <comment ref="K59" authorId="0" shapeId="0" xr:uid="{FC368517-4E5D-464D-AE4E-0C9F394928F9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Aout 2022 à juillet 2023
Payé le 21/09/23</t>
        </r>
      </text>
    </comment>
    <comment ref="D60" authorId="0" shapeId="0" xr:uid="{AED8027C-0E22-4670-8B90-24D93C841D8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cotisations mois:04;05;06;07;08;09;10;11&amp;12/2022et 01/23 payées le 13/02/23</t>
        </r>
      </text>
    </comment>
    <comment ref="J60" authorId="0" shapeId="0" xr:uid="{5235CA4E-00F8-475B-9D65-068879038EF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fevrier à juillet 2023
payé le 16/08/2023</t>
        </r>
      </text>
    </comment>
    <comment ref="E61" authorId="0" shapeId="0" xr:uid="{1E7CE02D-DA3E-4481-B274-3A9BDB7D1BD1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 &amp; 04/2023
payé les 09 &amp; 23/03/2023</t>
        </r>
      </text>
    </comment>
    <comment ref="F61" authorId="0" shapeId="0" xr:uid="{BF3E60EF-703F-4F8A-8039-575789B22CC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05/2023
payé le 29/04/23</t>
        </r>
      </text>
    </comment>
    <comment ref="G61" authorId="0" shapeId="0" xr:uid="{332A39F0-41A0-404C-B5A7-F471547B61C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06/223
payé le 29/05/23</t>
        </r>
      </text>
    </comment>
    <comment ref="H61" authorId="0" shapeId="0" xr:uid="{2042119C-6F6C-41DF-98F2-8A756DAA4B7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07/2023 payé le 22/6/23</t>
        </r>
      </text>
    </comment>
    <comment ref="I61" authorId="0" shapeId="0" xr:uid="{6377BB6D-774F-44F2-9645-5E28D2190717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Aout 2023 payé le 26/07/2023</t>
        </r>
      </text>
    </comment>
    <comment ref="J61" authorId="0" shapeId="0" xr:uid="{CE155055-BF9E-4D38-962A-30FC3D6A1D97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septembre 2023
payé le 31/08/2023</t>
        </r>
      </text>
    </comment>
    <comment ref="K61" authorId="0" shapeId="0" xr:uid="{C5876328-69CF-4F2E-BE5D-E6F252D46E8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Octobre 2023
Payé le 30/09/23</t>
        </r>
      </text>
    </comment>
    <comment ref="L61" authorId="0" shapeId="0" xr:uid="{E0629974-C038-4DDF-ABF5-EE94F5784B7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Novembre 2023
Payé le 26/10/23</t>
        </r>
      </text>
    </comment>
    <comment ref="C62" authorId="0" shapeId="0" xr:uid="{B5C5220C-7960-4C61-9E8C-FF5D45A6E84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cotisation mois 12/2022
payée le 02/01/2023 et mois 01/23 payé le 30/01/23</t>
        </r>
      </text>
    </comment>
    <comment ref="E62" authorId="0" shapeId="0" xr:uid="{19212B21-06DB-4D7C-B756-043698C1D037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mois 02/23 &amp; 03/2023 payé les 01 &amp; 23/03/23</t>
        </r>
      </text>
    </comment>
    <comment ref="I62" authorId="0" shapeId="0" xr:uid="{944D78B6-9F2D-458E-8545-275AEB7F5B5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06/2023 payé le 01/7/23
07/2023 payé le 31/7/23</t>
        </r>
      </text>
    </comment>
    <comment ref="J62" authorId="0" shapeId="0" xr:uid="{CD422DCB-EC79-4A27-9923-8039B7E6FC8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Aout &amp; Septembre 2023
Payé le 26/08/23</t>
        </r>
      </text>
    </comment>
    <comment ref="K62" authorId="0" shapeId="0" xr:uid="{3076CC41-903A-463E-8313-51A7E9402A80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Octobre &amp; Novembre 23
Payé le 26/09/23</t>
        </r>
      </text>
    </comment>
    <comment ref="M62" authorId="0" shapeId="0" xr:uid="{EACEB848-C4D8-4EDE-ADF4-67B13DDF142A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Décembre 2023
Payé le 28/11/2023</t>
        </r>
      </text>
    </comment>
    <comment ref="D63" authorId="0" shapeId="0" xr:uid="{1A0CAFC5-D443-43B8-B74B-A842B442517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cotisations mois: 10;11;&amp;12/2022 et 01/23 payées le 27/02/23</t>
        </r>
      </text>
    </comment>
    <comment ref="G63" authorId="0" shapeId="0" xr:uid="{1A0D3424-581E-472E-A776-06B61F93410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02 ; 03 &amp; 04/2023
payé le 25/05/23</t>
        </r>
      </text>
    </comment>
    <comment ref="I63" authorId="0" shapeId="0" xr:uid="{D72853A3-9850-49BC-9128-CA9E0DE7B4F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05 &amp; 06/2023
payé le 31/07/2023</t>
        </r>
      </text>
    </comment>
    <comment ref="L63" authorId="0" shapeId="0" xr:uid="{6FA5B6EF-F9E9-41CF-89DF-9A216D1FF30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Juillet à Décembre 2023
Payé le 05/10/23</t>
        </r>
      </text>
    </comment>
    <comment ref="M63" authorId="0" shapeId="0" xr:uid="{136800FA-4000-4AD6-8471-84177972B7EE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ANNEE 2024
PAYE le 27/11/2023</t>
        </r>
      </text>
    </comment>
    <comment ref="D64" authorId="0" shapeId="0" xr:uid="{73622B54-7BA4-4E97-BCC8-71678595FF80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cotisations année 2023 payées le 09/02/2023</t>
        </r>
      </text>
    </comment>
    <comment ref="D67" authorId="0" shapeId="0" xr:uid="{729058E9-EEC9-41EF-A19B-83B9CC23CF91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payées le 27/02/23</t>
        </r>
      </text>
    </comment>
    <comment ref="G67" authorId="0" shapeId="0" xr:uid="{ABC56279-DECD-4935-BA7E-2CA5F65EBCE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 &amp; 04/2023
payé le 03/05/23</t>
        </r>
      </text>
    </comment>
    <comment ref="I67" authorId="0" shapeId="0" xr:uid="{6918AB97-DA6C-4539-BBB3-52A65F657E0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05 &amp; 06/2023 payé le 04/07/23</t>
        </r>
      </text>
    </comment>
    <comment ref="K67" authorId="0" shapeId="0" xr:uid="{792E0105-2731-469D-BEA1-B37725869D70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juillet &amp; Aout 2023
payé le 01/09/23</t>
        </r>
      </text>
    </comment>
    <comment ref="M67" authorId="0" shapeId="0" xr:uid="{677F793E-A2A9-42F4-A89A-632A6432AF1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Septembre &amp; Octobre 2023
Payé le 09/11/23</t>
        </r>
      </text>
    </comment>
    <comment ref="G69" authorId="0" shapeId="0" xr:uid="{28DA077B-E828-4777-A8A4-91524DF64EE7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année 2023
SG: AAB 4087259 du 
12/05/23</t>
        </r>
      </text>
    </comment>
    <comment ref="I70" authorId="0" shapeId="0" xr:uid="{0266E50F-466C-473A-95CE-DA29132B550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janvier à juin 2023
payé le 18/07/23</t>
        </r>
      </text>
    </comment>
    <comment ref="H71" authorId="0" shapeId="0" xr:uid="{7E59D36C-D180-4307-9139-7179B719F40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bp CPI 5099242 du 06/6/23
versé sur TGR
1er semestre 2023</t>
        </r>
      </text>
    </comment>
    <comment ref="I71" authorId="0" shapeId="0" xr:uid="{A1F103C0-37F5-4D9C-8CD1-CD9C33F072EA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bp CPI 5099243 du 10/07/2023 versé sur TGR
2ème semestre 2023</t>
        </r>
      </text>
    </comment>
    <comment ref="D72" authorId="0" shapeId="0" xr:uid="{FFDD50DE-8DDC-4ED1-AC90-F24EA23A34C9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01. 02 &amp; 03/2023
payées le 10/02/2023
</t>
        </r>
      </text>
    </comment>
    <comment ref="G72" authorId="0" shapeId="0" xr:uid="{5C7FD67F-B432-4BE0-8B49-2CBCD33A9DE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04 &amp; 05/2023
payé le 05/05/23</t>
        </r>
      </text>
    </comment>
    <comment ref="H72" authorId="0" shapeId="0" xr:uid="{D0197A95-B4A5-418D-91C7-98716B30BC67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06 &amp; 07/2023
payé le 27/06/23</t>
        </r>
      </text>
    </comment>
    <comment ref="L72" authorId="0" shapeId="0" xr:uid="{AFF0BC46-A834-424B-8E20-34F761FE4F3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Aout, Septembre &amp; Octobre 2023
Payé le 31/10/23</t>
        </r>
      </text>
    </comment>
    <comment ref="I73" authorId="0" shapeId="0" xr:uid="{3D07C9B0-9073-453B-B653-CB45B0D9426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novembre 2022 à fin juin 2023 payé le 24/07/23</t>
        </r>
      </text>
    </comment>
    <comment ref="D81" authorId="0" shapeId="0" xr:uid="{54CFD02B-0411-4EC3-B1E6-2C416245445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12/2022 :130dh
01/2023 :70dh
payé le 05/02/23</t>
        </r>
      </text>
    </comment>
    <comment ref="E81" authorId="0" shapeId="0" xr:uid="{BDE4F589-C495-4568-B6D1-DC10451AD46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01: 60dh
02: 120dh
03: 110dh
payé le 25/03/23</t>
        </r>
      </text>
    </comment>
    <comment ref="G81" authorId="0" shapeId="0" xr:uid="{0A2FAF6D-70D0-43A8-B288-79C01917762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03/2023 : 20dh
04 &amp; 05/2023: 260dh
payé le 06/05/23</t>
        </r>
      </text>
    </comment>
    <comment ref="G82" authorId="0" shapeId="0" xr:uid="{1A48FD89-3212-4230-81CD-E20E6924EE30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année 2023 
payé le 10/05/2023</t>
        </r>
      </text>
    </comment>
    <comment ref="E83" authorId="0" shapeId="0" xr:uid="{C0A4101D-B6B7-4447-A9DC-33A65F4B58A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10; 11 &amp; 12/2022
01 &amp; 02/2023
payé le 01/03/23</t>
        </r>
      </text>
    </comment>
    <comment ref="F83" authorId="0" shapeId="0" xr:uid="{CBD9C3F3-BF77-4CDC-A99C-201E62456CF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03/2023
payé le 11/04/23</t>
        </r>
      </text>
    </comment>
    <comment ref="G83" authorId="0" shapeId="0" xr:uid="{05FA185E-08C9-4605-BC43-CDFEB1E12B9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04 &amp; 05/2023
payé le 22/05/23</t>
        </r>
      </text>
    </comment>
    <comment ref="C84" authorId="0" shapeId="0" xr:uid="{179966BE-C55C-44AE-977A-79A9BB8C94A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10; 11 &amp; 12/2022
payé le 04/01/23</t>
        </r>
      </text>
    </comment>
    <comment ref="G84" authorId="0" shapeId="0" xr:uid="{A787E3FA-800C-48B5-ADD9-CFB461B481A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01;02;03 &amp; 04/2023
payé le 03/05/23
</t>
        </r>
      </text>
    </comment>
    <comment ref="I84" authorId="0" shapeId="0" xr:uid="{97EC7589-027E-43A8-A775-D243BB2914F9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05 &amp; 06/2023
payé le 28/07/23</t>
        </r>
      </text>
    </comment>
    <comment ref="M84" authorId="0" shapeId="0" xr:uid="{B4F82AD0-D719-4C0E-93B2-4BC7F7BD451A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Juillet à Novembre 2023
Payé le 28/11/23</t>
        </r>
      </text>
    </comment>
    <comment ref="O84" authorId="0" shapeId="0" xr:uid="{5D4BB52C-246A-4CF0-ABF6-0F8C29437CE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années: 2018 à 2022
payé le 04/01/2023</t>
        </r>
      </text>
    </comment>
    <comment ref="E85" authorId="0" shapeId="0" xr:uid="{987DF00B-132F-4F4C-9DD4-93067C0C984C}">
      <text>
        <r>
          <rPr>
            <b/>
            <sz val="9"/>
            <color indexed="81"/>
            <rFont val="Tahoma"/>
            <family val="2"/>
          </rPr>
          <t xml:space="preserve">Syndic Intellak II:
</t>
        </r>
        <r>
          <rPr>
            <sz val="9"/>
            <color indexed="81"/>
            <rFont val="Tahoma"/>
            <family val="2"/>
          </rPr>
          <t>CDM: 1809986529 du 01/03/2023
Année 2023</t>
        </r>
      </text>
    </comment>
    <comment ref="C86" authorId="0" shapeId="0" xr:uid="{880A35FC-56B2-4F1D-8F81-498EDB5EE54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SG: KBC 9001074 du 04/01/2023
01; 02 &amp; 03/2023</t>
        </r>
      </text>
    </comment>
    <comment ref="F86" authorId="0" shapeId="0" xr:uid="{BB47CB44-D848-44B8-86BC-E76A99D373B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SG: KBC 9001082 du 02/04/2023
04; 05 &amp; 06/2023</t>
        </r>
      </text>
    </comment>
    <comment ref="I86" authorId="0" shapeId="0" xr:uid="{1F791D4E-D4C3-4962-A1DE-17326396D63E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KBC 9001090 du 25/07/23 versé sur TGR
07; 08 &amp; 09/2023</t>
        </r>
      </text>
    </comment>
    <comment ref="L86" authorId="0" shapeId="0" xr:uid="{D2C3029D-2259-4321-A425-706B27C7338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Octobre, Novembre &amp; Décembre 2023
Ch KBC 9001095 du 03/10/23 (sur TGR)</t>
        </r>
      </text>
    </comment>
    <comment ref="H87" authorId="0" shapeId="0" xr:uid="{4378D297-AF02-418B-9AC9-581DA619D367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09;10;11&amp;12/2022:
390dh
01/2023: 130dh
02/2023: 120dh
</t>
        </r>
      </text>
    </comment>
    <comment ref="I87" authorId="0" shapeId="0" xr:uid="{9FF29B6B-F846-4D0C-B395-A1258C1F4DD0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02 (10dh) 03; 04 &amp; 05/2023 (100dh)      payé le 07/07/23</t>
        </r>
      </text>
    </comment>
    <comment ref="J87" authorId="0" shapeId="0" xr:uid="{45F84298-5CDF-45F5-8EAF-B8494F72D13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mai 30dh &amp; juin 130dh
payé le 09/08/2023</t>
        </r>
      </text>
    </comment>
    <comment ref="H88" authorId="0" shapeId="0" xr:uid="{F7741DE2-D2D9-4CE0-B5FE-7A1F0A04F0B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10/2022 à 01/2023
payé le 05/06/2023</t>
        </r>
      </text>
    </comment>
    <comment ref="I88" authorId="0" shapeId="0" xr:uid="{7F7F8900-E4AC-4F3C-8BB3-11AC38082E9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02 &amp; 03/2023
payé le 07/07/2023</t>
        </r>
      </text>
    </comment>
    <comment ref="J88" authorId="0" shapeId="0" xr:uid="{9BCF94FC-710F-4076-9801-7D0696233CEE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avril 315dh &amp; mai 25dh
payé le 09/08/2023</t>
        </r>
      </text>
    </comment>
    <comment ref="F89" authorId="0" shapeId="0" xr:uid="{1C934A87-0FB9-4DA9-B6C4-AF2CEF0CF6C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03/2023 payé le 03/4/23
04/2023 payé le 30/4/23</t>
        </r>
      </text>
    </comment>
    <comment ref="H89" authorId="0" shapeId="0" xr:uid="{AD9FB9A8-FFC1-4B6C-AFF7-219711C17A5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05/2023 payé le 08/6/23</t>
        </r>
      </text>
    </comment>
    <comment ref="I89" authorId="0" shapeId="0" xr:uid="{BE54E161-AE9B-4D8D-B58A-B2EF0C1A39C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06/2023 payé le 06/7/23</t>
        </r>
      </text>
    </comment>
    <comment ref="J89" authorId="0" shapeId="0" xr:uid="{263155F3-B929-4EA8-8560-F3CA962BE14E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juillet 2023
payé le 04/08/23</t>
        </r>
      </text>
    </comment>
    <comment ref="K89" authorId="0" shapeId="0" xr:uid="{32DFA85A-74C9-47CA-8C73-B4C1F5C86A87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Aout 2023
payé le 04/09/23</t>
        </r>
      </text>
    </comment>
    <comment ref="M89" authorId="0" shapeId="0" xr:uid="{D85D4949-487A-42D6-B881-9C7556DB1DB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Sept; Oct &amp; Nov, 2023
Payé le 24/11/23
Décembre 2023 
Payé le 28/11/23</t>
        </r>
      </text>
    </comment>
    <comment ref="C90" authorId="0" shapeId="0" xr:uid="{E934D8B4-7B7C-46E2-AAF3-129023B8347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12/2022
payé le 02/01/23</t>
        </r>
      </text>
    </comment>
    <comment ref="D90" authorId="0" shapeId="0" xr:uid="{F2373D5D-B649-4D7F-AE27-0F0EA8F6B25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01/2023
payé le 01/02/23</t>
        </r>
      </text>
    </comment>
    <comment ref="E90" authorId="0" shapeId="0" xr:uid="{C5E82E18-E44B-478A-8B9A-6F914554A26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02/2023
payé le 06/03/23</t>
        </r>
      </text>
    </comment>
    <comment ref="F90" authorId="0" shapeId="0" xr:uid="{46819EA1-1B27-4A60-8AF3-8AF8A3057DF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03/2023
payé le 01/04/23</t>
        </r>
      </text>
    </comment>
    <comment ref="G90" authorId="0" shapeId="0" xr:uid="{CF211946-1920-48E6-A382-06068F2F1979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04/2023 payé le 02/5/23
05/2023 payé le 31/5/23</t>
        </r>
      </text>
    </comment>
    <comment ref="I90" authorId="0" shapeId="0" xr:uid="{CE7170FE-ECF7-40DE-B230-0448417D8F0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06/2023 payé le 03/7/23</t>
        </r>
      </text>
    </comment>
    <comment ref="J90" authorId="0" shapeId="0" xr:uid="{51119A26-CDC5-48C5-AEA1-39196F3D837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j</t>
        </r>
        <r>
          <rPr>
            <sz val="11"/>
            <color indexed="81"/>
            <rFont val="Tahoma"/>
            <family val="2"/>
          </rPr>
          <t>uillet 2023
payé le 01/08/23</t>
        </r>
      </text>
    </comment>
    <comment ref="K90" authorId="0" shapeId="0" xr:uid="{54552EAC-F1D4-45C9-A0BB-F951B01E12C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Aout 2023
payé le 04/09/23</t>
        </r>
      </text>
    </comment>
    <comment ref="L90" authorId="0" shapeId="0" xr:uid="{A1215252-8A77-458C-BDDE-AD2B1BA30C5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septembre 2023
Payé le 02/10/23</t>
        </r>
      </text>
    </comment>
    <comment ref="M90" authorId="0" shapeId="0" xr:uid="{D3BBDFC8-8583-47A9-86F7-BED6534BDA0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OCTOBRE 2023
PAYE LE 13/11/2023
NOVEMBRE 2023
PAYE le 29/1123</t>
        </r>
      </text>
    </comment>
    <comment ref="E92" authorId="0" shapeId="0" xr:uid="{69966A73-F8FE-4F49-B1F3-160D55D568EE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02/2023 payé le 01/03
03/2023 payé le 30/03</t>
        </r>
      </text>
    </comment>
    <comment ref="C93" authorId="0" shapeId="0" xr:uid="{1A324BEA-2F59-46CB-97E7-FA6E6B8B5ED0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12/2022
01 &amp; 02/2023
payé le 20/01/23</t>
        </r>
      </text>
    </comment>
    <comment ref="E93" authorId="0" shapeId="0" xr:uid="{40FEF484-34AD-4D2E-8402-FA26F2B18D6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03; 04 &amp; 05/2023
payé le 30/03/23</t>
        </r>
      </text>
    </comment>
    <comment ref="I93" authorId="0" shapeId="0" xr:uid="{95A261A1-1109-410E-BF67-A0C86F68A52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06 ; 07 &amp; 08/2023
payé le 31/07/23</t>
        </r>
      </text>
    </comment>
    <comment ref="K93" authorId="0" shapeId="0" xr:uid="{9136EE3C-F512-4990-B98C-D0D7F56AEC3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septembre ; octobre &amp; novembre 2023
payé le 29/09/23</t>
        </r>
      </text>
    </comment>
    <comment ref="C94" authorId="0" shapeId="0" xr:uid="{650F547F-4043-429E-9A90-9C7AC0164A0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année 2023</t>
        </r>
      </text>
    </comment>
    <comment ref="E95" authorId="0" shapeId="0" xr:uid="{C05CEEC8-7115-4A40-B726-334177F3F3F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02/2023 payé le 01/03
03/2023 payé le 29/03</t>
        </r>
      </text>
    </comment>
    <comment ref="G95" authorId="0" shapeId="0" xr:uid="{A50AB4C9-7CED-41A1-AF24-AA55DDD3F2A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04/2023 payé le 12/5/23
05/2023 payé le 31/5/23</t>
        </r>
      </text>
    </comment>
    <comment ref="I95" authorId="0" shapeId="0" xr:uid="{3C0EBA4B-F0F1-403A-88C4-4B9759A39A8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06/2023 payé le 06/7/23
07/2023 payé lé 31/7/23</t>
        </r>
      </text>
    </comment>
    <comment ref="K95" authorId="0" shapeId="0" xr:uid="{39B90DCD-DB4F-4C58-896B-3FA642AD265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Aout 2023
 payé le 02/09/23
septembre 2023
payé le 29/09/23</t>
        </r>
      </text>
    </comment>
    <comment ref="D96" authorId="0" shapeId="0" xr:uid="{04026F2B-1B61-4FC4-946B-F41AAECBEA3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 &amp; 02/2023
payé le 10/02/23</t>
        </r>
      </text>
    </comment>
    <comment ref="F96" authorId="0" shapeId="0" xr:uid="{A0AB5A6F-0B1F-4900-933B-4C6E025281C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 &amp; 04/2023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payé le 03/04/23</t>
        </r>
      </text>
    </comment>
    <comment ref="E97" authorId="0" shapeId="0" xr:uid="{EFD8145F-D147-44DF-9E47-91C297714FD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02/2023 payé le 01/03
03/2023 payé le 31/03</t>
        </r>
      </text>
    </comment>
    <comment ref="G97" authorId="0" shapeId="0" xr:uid="{2A91B121-624B-4B72-95C1-2DE59352C807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04/2023 payé le 03/5/23</t>
        </r>
      </text>
    </comment>
    <comment ref="H97" authorId="0" shapeId="0" xr:uid="{A596D1FF-D4F4-4863-AE62-09ECE3F99B5E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05/2023 payé le 01/6/23
06/2023 payé le 28/6/23</t>
        </r>
      </text>
    </comment>
    <comment ref="J97" authorId="0" shapeId="0" xr:uid="{CACC23BA-01B0-4B85-B951-B39331D9193A}">
      <text>
        <r>
          <rPr>
            <b/>
            <sz val="11"/>
            <color indexed="81"/>
            <rFont val="Tahoma"/>
            <family val="2"/>
          </rPr>
          <t>Syndic Intellak II:</t>
        </r>
        <r>
          <rPr>
            <sz val="11"/>
            <color indexed="81"/>
            <rFont val="Tahoma"/>
            <family val="2"/>
          </rPr>
          <t xml:space="preserve">
juillet 2023
payé le 05/08/23</t>
        </r>
      </text>
    </comment>
    <comment ref="K97" authorId="0" shapeId="0" xr:uid="{76C1ECC3-8C9A-4484-8D28-E4A4ACAFE20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Aout 2023
payé l 04/09/2023</t>
        </r>
      </text>
    </comment>
    <comment ref="C98" authorId="0" shapeId="0" xr:uid="{77A9A658-00C7-4056-8888-5ECC4D87BB71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CDM: 202 1079432 du 27/01/2023
07; 08 &amp; 09/2022</t>
        </r>
      </text>
    </comment>
    <comment ref="G98" authorId="0" shapeId="0" xr:uid="{D6E91E69-535E-4CCA-9AEB-11D80E0D38D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10:11 &amp; 12/2022
01:02 &amp; 03/2023 payé par CDM 2021079435 &amp; CDM 2021079437du 
12/05/2023
01:02 &amp; 03/2023 payé par CDM 2021079435</t>
        </r>
      </text>
    </comment>
    <comment ref="K98" authorId="0" shapeId="0" xr:uid="{0D0DEF0B-BA1C-4992-8750-B759955F95B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Avril, Mai &amp; Juin 2023
chque CDM 2021079444 du 22/09/2023</t>
        </r>
      </text>
    </comment>
    <comment ref="D99" authorId="0" shapeId="0" xr:uid="{0ACDA470-8440-4724-925B-A1A2560F907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01: 02 &amp; 03/2023</t>
        </r>
      </text>
    </comment>
    <comment ref="F99" authorId="0" shapeId="0" xr:uid="{458B9CF4-7B52-4D92-9269-95925E2172E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04;05 &amp; 06/2023
payé ler 15/04/23</t>
        </r>
      </text>
    </comment>
    <comment ref="I99" authorId="0" shapeId="0" xr:uid="{B23C04ED-2956-4DFF-A485-41C16C53E38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07 , 08 &amp; 09/2023
payé le 15/07/23</t>
        </r>
      </text>
    </comment>
    <comment ref="L99" authorId="0" shapeId="0" xr:uid="{35951C8D-9C18-49C7-B112-C2A1C9F40BE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Octobre, Novembre &amp; Décembre 2023
Payé le 13/10/23</t>
        </r>
      </text>
    </comment>
    <comment ref="D100" authorId="0" shapeId="0" xr:uid="{6857BF00-6CB5-4977-BB17-4F79480E237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01/2023
payé le 01/02/23</t>
        </r>
      </text>
    </comment>
    <comment ref="E100" authorId="0" shapeId="0" xr:uid="{7CB37366-3E11-4DE1-8EB9-CC5B14C4277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02/2023 payé le 01/03
03/2023 payé le 24/03</t>
        </r>
      </text>
    </comment>
    <comment ref="G100" authorId="0" shapeId="0" xr:uid="{E5F83835-EC19-44E2-A46C-36023FA566C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04/2023 payé le 02/5/23
05/2023 payé le 30/5/23</t>
        </r>
      </text>
    </comment>
    <comment ref="C101" authorId="0" shapeId="0" xr:uid="{FBDF1002-5EBB-4341-9475-F5E11964345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BP: AAA 1800003 du 12/01/2023
2ième semestre 2022</t>
        </r>
      </text>
    </comment>
    <comment ref="E101" authorId="0" shapeId="0" xr:uid="{5B536314-2CE8-47E1-88A1-F3448010866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BP: AAA 1800005 du 21/03/2023
1er semestre 2023</t>
        </r>
      </text>
    </comment>
    <comment ref="E108" authorId="0" shapeId="0" xr:uid="{A391DB6A-9BED-406E-A17B-A6F0B34AE02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07 à 12/2022
01 &amp; 02/2023</t>
        </r>
      </text>
    </comment>
    <comment ref="F108" authorId="0" shapeId="0" xr:uid="{808BC695-159E-4088-82B1-946F82CF977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03/2023</t>
        </r>
      </text>
    </comment>
    <comment ref="H108" authorId="0" shapeId="0" xr:uid="{5C3CAAD7-1D93-4358-8D66-10304A2322E0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04 &amp; 06/2023
payé le 09/06/23</t>
        </r>
      </text>
    </comment>
    <comment ref="C109" authorId="0" shapeId="0" xr:uid="{21F32E16-1295-4AD1-AC6D-12A410EDC1C9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SG: KBC 8092977 du 05/01/2023
11 &amp; 12/2022</t>
        </r>
      </text>
    </comment>
    <comment ref="F109" authorId="0" shapeId="0" xr:uid="{34F6F38E-C1C1-4360-BA21-9A44C390CC2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SG KBC 8092994 du 12/04/23
0/ à 05/2023</t>
        </r>
      </text>
    </comment>
    <comment ref="O109" authorId="0" shapeId="0" xr:uid="{6BDA81C7-EB01-4B41-B10E-B0A78DE26069}">
      <text>
        <r>
          <rPr>
            <b/>
            <sz val="11"/>
            <color indexed="81"/>
            <rFont val="Tahoma"/>
            <family val="2"/>
          </rPr>
          <t>Syndic Intellak II: 
année 2022</t>
        </r>
        <r>
          <rPr>
            <sz val="11"/>
            <color indexed="81"/>
            <rFont val="Tahoma"/>
            <family val="2"/>
          </rPr>
          <t xml:space="preserve">
SG: KBC 8092977 du 05/01/2023</t>
        </r>
      </text>
    </comment>
    <comment ref="C110" authorId="0" shapeId="0" xr:uid="{3C5BB6C8-0696-4DF6-9C43-F49D09C0CB52}">
      <text>
        <r>
          <rPr>
            <b/>
            <sz val="9"/>
            <color indexed="81"/>
            <rFont val="Tahoma"/>
            <family val="2"/>
          </rPr>
          <t xml:space="preserve">Syndic Intellak II:
</t>
        </r>
        <r>
          <rPr>
            <sz val="9"/>
            <color indexed="81"/>
            <rFont val="Tahoma"/>
            <family val="2"/>
          </rPr>
          <t>virement du 30/01/2023
01; 02 &amp; 03/2023</t>
        </r>
      </text>
    </comment>
    <comment ref="F110" authorId="0" shapeId="0" xr:uid="{925E4EA4-D0E3-40A2-9218-DFB1715606E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virement BP du 17/04/23
04; 05 &amp; 06/2023</t>
        </r>
      </text>
    </comment>
    <comment ref="K110" authorId="0" shapeId="0" xr:uid="{C88BF3CE-F528-4F66-8A7E-87FF77C2537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Virement bancaire sur compte BP du 26/09/23</t>
        </r>
      </text>
    </comment>
    <comment ref="L110" authorId="0" shapeId="0" xr:uid="{75D8A192-3FB1-463B-A40A-C18E0980C3B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Octobre ,Novembre &amp; Décembre 2023
Virement bancaire sur BP du 25/10/23</t>
        </r>
      </text>
    </comment>
    <comment ref="O110" authorId="0" shapeId="0" xr:uid="{AD39B854-89D9-4C49-931D-E9E24FECEC19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 
année 2022 &amp; 2023
virements  BP du 30/01/23  &amp; 17/04/2023
</t>
        </r>
      </text>
    </comment>
    <comment ref="C111" authorId="0" shapeId="0" xr:uid="{735895C9-EE98-49B6-9898-447B00081F4A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09 &amp; 10/2022</t>
        </r>
      </text>
    </comment>
    <comment ref="D111" authorId="0" shapeId="0" xr:uid="{F3502107-7E37-4816-A869-A0E9EDA0951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11 &amp; 12/2022</t>
        </r>
      </text>
    </comment>
    <comment ref="E111" authorId="0" shapeId="0" xr:uid="{BD695049-F9C3-4A76-A8DA-5CBEEF877B3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 &amp; 02/2023</t>
        </r>
      </text>
    </comment>
    <comment ref="H111" authorId="0" shapeId="0" xr:uid="{7B7C80AF-341F-4CBF-9D21-D7C051B9396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 &amp; 04/2023
payé le 14/06/23</t>
        </r>
      </text>
    </comment>
    <comment ref="J111" authorId="0" shapeId="0" xr:uid="{1A896D65-38BA-46BF-ABDF-05AF95CA239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mai &amp; juin 2023
payé le 13/08/2023</t>
        </r>
      </text>
    </comment>
    <comment ref="L111" authorId="0" shapeId="0" xr:uid="{DD24EAE2-AC16-4492-9B57-59905271F701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Juillet &amp; Aout 2023
Payé le 12/10/23</t>
        </r>
      </text>
    </comment>
    <comment ref="D112" authorId="0" shapeId="0" xr:uid="{0D483E84-3CFC-4E1A-B7D7-9E810ED3B8E7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12/2022
01/2023</t>
        </r>
      </text>
    </comment>
    <comment ref="I112" authorId="0" shapeId="0" xr:uid="{B7771C3B-4FBB-490A-9854-5633017D905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02 à 07/2023
payé le 27/07/2023</t>
        </r>
      </text>
    </comment>
    <comment ref="O112" authorId="0" shapeId="0" xr:uid="{49C00D2C-D6B2-423E-8033-17BFBFC676D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années 2017 à 2022
payé le 07/02/2023
année 2023 payé le 27/07/2023</t>
        </r>
      </text>
    </comment>
    <comment ref="F115" authorId="0" shapeId="0" xr:uid="{30B8799C-FC73-4979-A3B3-A3091BF3005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2ième semestre 2022
01; 02 &amp; 03/2023</t>
        </r>
      </text>
    </comment>
    <comment ref="F116" authorId="0" shapeId="0" xr:uid="{AAAD2EDF-7B45-4C86-98CA-CBAF13BF75A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bank of africa: EIC 1795033 du 14/04/23
année 2023</t>
        </r>
      </text>
    </comment>
    <comment ref="O116" authorId="0" shapeId="0" xr:uid="{12C6A1D4-ED21-407E-A7A9-B354660682F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année 2023
chque BA : EIC 17950333 du 14/04/23</t>
        </r>
      </text>
    </comment>
    <comment ref="K117" authorId="0" shapeId="0" xr:uid="{28C9FE7F-8DD1-48C9-B3D4-BAAD8A00445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déc 2022 à  septbre 2023
Payé le 11/09/23
Octbre à Décbre 2023
Payé le 21/09/2023</t>
        </r>
      </text>
    </comment>
    <comment ref="C118" authorId="0" shapeId="0" xr:uid="{CD1D1961-309E-4BC9-8A45-956C6B44880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12/2022
01/2023</t>
        </r>
      </text>
    </comment>
    <comment ref="E118" authorId="0" shapeId="0" xr:uid="{02CFDD89-D9D9-4D6A-AF9E-384E4E63232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02/2023
03/2023</t>
        </r>
      </text>
    </comment>
    <comment ref="L118" authorId="0" shapeId="0" xr:uid="{8836C7F9-D9B7-4FAC-85A6-9D5F344797F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Septembre 2023
Payé le 07/10/23
Octobre 2023
Payé le 31/10/23</t>
        </r>
      </text>
    </comment>
    <comment ref="D119" authorId="0" shapeId="0" xr:uid="{B529189C-3375-405E-8F41-1E6C2BD4655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06 à 12/2022
01 &amp; 02/2023</t>
        </r>
      </text>
    </comment>
    <comment ref="L119" authorId="0" shapeId="0" xr:uid="{2E3BF60D-A704-47A3-9EF4-EFB5D80B5E9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Mars à fin Aout 2023
Payé le 06/10/23
septembre 2023
Payé le 07/10/23</t>
        </r>
      </text>
    </comment>
    <comment ref="O119" authorId="0" shapeId="0" xr:uid="{D1DE6FD3-9D0E-4E9B-937C-631644CABCE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Electricité garage 
Années: 2020; 21; 22 &amp; 2023 Payé le 06/10/23</t>
        </r>
      </text>
    </comment>
    <comment ref="C120" authorId="0" shapeId="0" xr:uid="{20A688BD-B9A7-44F5-8C42-68613E03621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11 &amp; 12/2022
01/2023</t>
        </r>
      </text>
    </comment>
    <comment ref="E120" authorId="0" shapeId="0" xr:uid="{ED7D0E03-8F76-4FD8-A621-BE944C75E9D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02/2023
03/2023</t>
        </r>
      </text>
    </comment>
    <comment ref="J120" authorId="0" shapeId="0" xr:uid="{A0A0A870-B138-430B-8520-FF0BC1B422B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juillet 2023
payé le 01/08/23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20" authorId="0" shapeId="0" xr:uid="{1F10712F-8D23-4909-98E2-A060A0F75C5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Aout &amp; Septembre 2023
Payé le 12/10/23</t>
        </r>
      </text>
    </comment>
    <comment ref="O120" authorId="0" shapeId="0" xr:uid="{F5BC5850-449C-4A80-A299-7AFA1C1FF4A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année: 2022 payé le 03/01/23</t>
        </r>
      </text>
    </comment>
    <comment ref="C121" authorId="0" shapeId="0" xr:uid="{7206B82C-AB4A-4CE6-889E-732787627EE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12/2022</t>
        </r>
      </text>
    </comment>
    <comment ref="D121" authorId="0" shapeId="0" xr:uid="{351EAF54-69EB-48EA-80D5-589E490505FE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01/2023</t>
        </r>
      </text>
    </comment>
    <comment ref="E121" authorId="0" shapeId="0" xr:uid="{31D90E8C-BF07-46E1-8112-1265C958DA5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02/2023
</t>
        </r>
      </text>
    </comment>
    <comment ref="F121" authorId="0" shapeId="0" xr:uid="{EF1D1C7D-B2E7-4537-87C6-F0FA3B99D13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03/2023</t>
        </r>
      </text>
    </comment>
    <comment ref="G121" authorId="0" shapeId="0" xr:uid="{A4DC8899-E051-41D9-B440-2800994F13C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04/2023 payé le 03/5/23</t>
        </r>
      </text>
    </comment>
    <comment ref="H121" authorId="0" shapeId="0" xr:uid="{47CE45D5-3B8B-4552-9734-38096ED8923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05/2023 payé le 03/6/23</t>
        </r>
      </text>
    </comment>
    <comment ref="I121" authorId="0" shapeId="0" xr:uid="{9A7681C7-E335-4C88-8954-C91841D9E45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06/2023 payé le 04/7/23</t>
        </r>
      </text>
    </comment>
    <comment ref="J121" authorId="0" shapeId="0" xr:uid="{67A0A1F4-DC91-4D0D-8584-A86F907FED4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juillet 2023
payé le 03/08/23</t>
        </r>
      </text>
    </comment>
    <comment ref="K121" authorId="0" shapeId="0" xr:uid="{8A0B6C57-D178-4DD5-800F-C83957BFC8C1}">
      <text>
        <r>
          <rPr>
            <b/>
            <sz val="9"/>
            <color indexed="81"/>
            <rFont val="Tahoma"/>
            <family val="2"/>
          </rPr>
          <t>Syndic Intellak II:
Aout 2023
payé le 09/09/23</t>
        </r>
      </text>
    </comment>
    <comment ref="L121" authorId="0" shapeId="0" xr:uid="{97B4C6A5-E252-4C8E-B191-0D80457B357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septembre 2023
Payé le 02/10/23</t>
        </r>
      </text>
    </comment>
    <comment ref="M121" authorId="0" shapeId="0" xr:uid="{33874933-803E-41B6-83DD-90F191A6F737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Octobre 2023 
Payé le 04/11/23</t>
        </r>
      </text>
    </comment>
    <comment ref="O121" authorId="0" shapeId="0" xr:uid="{313C66FA-3228-4072-B0EB-5E5CCDDA407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années: 2021 &amp; 2022
payé le 04/01 /2023 &amp; le 04/04/2023</t>
        </r>
      </text>
    </comment>
    <comment ref="C122" authorId="0" shapeId="0" xr:uid="{837F1593-F684-4F4C-9A69-F11A2D07198E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11/2022</t>
        </r>
      </text>
    </comment>
    <comment ref="E122" authorId="0" shapeId="0" xr:uid="{278F6CE7-4AF8-4DEB-ADFD-E9ACCB22F4B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12/2022
01 &amp; 02/2023</t>
        </r>
      </text>
    </comment>
    <comment ref="F122" authorId="0" shapeId="0" xr:uid="{7CDE360B-0D05-485C-B969-F88333FDA977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mars 2023
payé le 26/04/2023</t>
        </r>
      </text>
    </comment>
    <comment ref="I122" authorId="0" shapeId="0" xr:uid="{7F7F4A45-2EDB-4397-8D6F-0120AF27FEBA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avril &amp; mai 2023
payé le 28/07/2023</t>
        </r>
      </text>
    </comment>
    <comment ref="J122" authorId="0" shapeId="0" xr:uid="{42E25E30-6D2F-4705-AF14-7138903B74D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juin 2023
payé le 31/08/2023</t>
        </r>
      </text>
    </comment>
    <comment ref="C123" authorId="0" shapeId="0" xr:uid="{8878C6FA-95C0-425D-B068-927BE1BB4A61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12/2022</t>
        </r>
      </text>
    </comment>
    <comment ref="E123" authorId="0" shapeId="0" xr:uid="{F85D9D94-C1EE-4B13-B463-BA6D5AC6A79A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 &amp; 02/2023</t>
        </r>
      </text>
    </comment>
    <comment ref="G123" authorId="0" shapeId="0" xr:uid="{F8173AAC-4F4B-4250-98AC-2C753950D35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 &amp; 04/20213
payé le 22/05/23</t>
        </r>
      </text>
    </comment>
    <comment ref="I123" authorId="0" shapeId="0" xr:uid="{AC8CB2A6-3701-4CCA-95AC-FD41AFE78E1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05 &amp; 06/2023
payé le 21/07/23</t>
        </r>
      </text>
    </comment>
    <comment ref="J123" authorId="0" shapeId="0" xr:uid="{4C48FFF1-95AD-4AD5-8E39-8D1E0F6B92C0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juillet 2023 
payé  le 28/08/2023</t>
        </r>
      </text>
    </comment>
    <comment ref="L123" authorId="0" shapeId="0" xr:uid="{EF94B3FA-BB96-4B35-B4FC-B248D94D6F67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Aout &amp; Septembre 2023
Payé le 21/10/23</t>
        </r>
      </text>
    </comment>
    <comment ref="M123" authorId="0" shapeId="0" xr:uid="{16EF1C8D-C5BB-4E4F-9005-A5B90CAFC1C9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Octobre 2023
Payé le 21/11/2023</t>
        </r>
      </text>
    </comment>
    <comment ref="C124" authorId="0" shapeId="0" xr:uid="{79D80ABB-1146-40F8-9090-CE08828555F0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1er semestre 2023
payé par chque CIH
TDB 3071659 du 30/01/23</t>
        </r>
      </text>
    </comment>
    <comment ref="I124" authorId="0" shapeId="0" xr:uid="{3E1526DA-8175-426C-9F99-7EA48846FF5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2iéme semestre 2023
payé par chque CIH TDB 3071665 du 14/07/23</t>
        </r>
      </text>
    </comment>
    <comment ref="O124" authorId="0" shapeId="0" xr:uid="{AB33D069-8FC2-4411-94A8-B659D7D6DD17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année 2023
payé par chèque CIH TDB 3071665 du 14/07/23</t>
        </r>
      </text>
    </comment>
    <comment ref="G132" authorId="0" shapeId="0" xr:uid="{43E0E842-7ACA-49BB-9863-E2FEFB7F727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 à 05/2023
payé le 18/05/23</t>
        </r>
      </text>
    </comment>
    <comment ref="K132" authorId="0" shapeId="0" xr:uid="{A2D90932-2333-44CA-B92B-9EBEDAD246A7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Juin, Juillet, Aout &amp; Septembre 2023
Payé le 29/09/23</t>
        </r>
      </text>
    </comment>
    <comment ref="C133" authorId="0" shapeId="0" xr:uid="{D7E8AADF-3B83-4FE5-8CED-5FA050C391A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12/2022 payé le 05/01/22</t>
        </r>
      </text>
    </comment>
    <comment ref="D133" authorId="0" shapeId="0" xr:uid="{2D937A8A-A1B0-40C4-A54C-C6CAEDC7D99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01/2023 payé le 02/02/23</t>
        </r>
      </text>
    </comment>
    <comment ref="E133" authorId="0" shapeId="0" xr:uid="{7C33489F-2485-42E3-946F-EA3914E3476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02/2023 
payé le 06/03/23</t>
        </r>
      </text>
    </comment>
    <comment ref="F133" authorId="0" shapeId="0" xr:uid="{5074C59B-15CD-4EC5-999A-D301A2992715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03/2023 payé le 04/4/23
04/2023 payé le 30/4/23</t>
        </r>
      </text>
    </comment>
    <comment ref="H133" authorId="0" shapeId="0" xr:uid="{88E8DA62-DB56-47F0-A5DC-661EC73843D9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05/2023 payé le 03/6/23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r>
      </text>
    </comment>
    <comment ref="I133" authorId="0" shapeId="0" xr:uid="{81320634-507F-4225-AFF4-37E3CA04A0F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06/2023 payé le 15/7/23</t>
        </r>
      </text>
    </comment>
    <comment ref="J133" authorId="0" shapeId="0" xr:uid="{8DD75541-95F0-4683-8DE5-5E04C37FA010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juillet 2023
payé le 03/08/23</t>
        </r>
      </text>
    </comment>
    <comment ref="K133" authorId="0" shapeId="0" xr:uid="{F24BFD29-1FB7-4DE4-99C8-06E2CDB6D32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Aout 2023
payé le 09/09/23
Septembre Payé le 30/09/2023</t>
        </r>
      </text>
    </comment>
    <comment ref="F134" authorId="0" shapeId="0" xr:uid="{DD1ED624-261A-436D-91F6-A0D0996CA35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 à 05/2023
payé le 30/04/23</t>
        </r>
      </text>
    </comment>
    <comment ref="H134" authorId="0" shapeId="0" xr:uid="{78696B6B-304A-46A5-9A75-65D9A443D62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06 &amp; 07/2023
payé le 26/06/23</t>
        </r>
      </text>
    </comment>
    <comment ref="K134" authorId="0" shapeId="0" xr:uid="{689D86EE-8674-4E51-B884-6435268FBFBE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Aout &amp; Septembre 2023
Payé le 23/09/203</t>
        </r>
      </text>
    </comment>
    <comment ref="M134" authorId="0" shapeId="0" xr:uid="{0DFCCBC8-4B5B-4840-A824-467A879ACBA1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Octobre , Novembre &amp; Décembre 2023
Payé le 22/11/23</t>
        </r>
      </text>
    </comment>
    <comment ref="I135" authorId="0" shapeId="0" xr:uid="{290CAE60-BB29-46E2-BC76-97907161B2A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janvier à juillet 2023
payé le 18/07/23</t>
        </r>
      </text>
    </comment>
    <comment ref="D136" authorId="0" shapeId="0" xr:uid="{E03DC393-7A97-4EBA-B904-54B973BC9C8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10/202 payé le 03/02/23 11 &amp; 12/2022 &amp;01/2023
payé le  05/02/2023</t>
        </r>
      </text>
    </comment>
    <comment ref="E136" authorId="0" shapeId="0" xr:uid="{9FB1DA48-902F-4A4C-ABE7-F64162C7A6C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02/2023 payé le 07/3/23</t>
        </r>
      </text>
    </comment>
    <comment ref="F136" authorId="0" shapeId="0" xr:uid="{DE4C7277-DBD8-4182-95A3-3B5C392276D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03 &amp; 04/2023
payé le 27/04/23</t>
        </r>
      </text>
    </comment>
    <comment ref="H136" authorId="0" shapeId="0" xr:uid="{48AE0C32-F40D-4DBD-85EC-983B9AD1E5EE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05/2023 payé le 04/6/23</t>
        </r>
      </text>
    </comment>
    <comment ref="I136" authorId="0" shapeId="0" xr:uid="{B050659F-C3B9-42AA-989B-539AC5C03FD0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06/2023 payé le 13/7/23</t>
        </r>
      </text>
    </comment>
    <comment ref="K136" authorId="0" shapeId="0" xr:uid="{9C281086-5CF6-41D8-B598-F91EBA004C3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juillet &amp;c Aout 2023
Payé le 13/09/23</t>
        </r>
      </text>
    </comment>
    <comment ref="M136" authorId="0" shapeId="0" xr:uid="{35B2A3E6-44D5-45F5-839F-DA6E2833C862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Septembre &amp; Oct 2023
Payé le 28/11/23</t>
        </r>
      </text>
    </comment>
    <comment ref="O136" authorId="0" shapeId="0" xr:uid="{431E24E6-9BD6-4795-9EE0-1781E955F1D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année 2022
payé 03/02/23
année 2023 
payé le 05/06/2023</t>
        </r>
      </text>
    </comment>
    <comment ref="I139" authorId="0" shapeId="0" xr:uid="{ACD7D90B-2E92-41AE-BB08-1C3A58EA32A6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année 2023 payé le 13/07/2023</t>
        </r>
      </text>
    </comment>
    <comment ref="H140" authorId="0" shapeId="0" xr:uid="{684EA4FD-3402-45AC-A218-D0B4297482F8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mars 2022 à juin 2023
payé le 18/06/23</t>
        </r>
      </text>
    </comment>
    <comment ref="O140" authorId="0" shapeId="0" xr:uid="{B90E0938-8E5A-4C04-A45C-A94B2925E58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années 2021 &amp; 2022
payé le 18/06/23</t>
        </r>
      </text>
    </comment>
    <comment ref="F141" authorId="0" shapeId="0" xr:uid="{D5274D7B-7C56-4D42-910A-D89B1A1C67C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BP: AAA 1800029 du 20/04/2023
2ième semestre 2023</t>
        </r>
      </text>
    </comment>
    <comment ref="O141" authorId="0" shapeId="0" xr:uid="{CA215301-859C-4AEB-BF86-A57281B7D91D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BP: AAA 1800029 du 20/04/2023
années 2019 à 2023</t>
        </r>
      </text>
    </comment>
    <comment ref="E142" authorId="0" shapeId="0" xr:uid="{4D7ABA3C-E3B6-4033-83B7-19C77FB9D9D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01: 02 &amp; 03/2023
payé le 07/03/23</t>
        </r>
      </text>
    </comment>
    <comment ref="I142" authorId="0" shapeId="0" xr:uid="{81CA8509-B7F8-41E7-A797-3CAFEFCC6F5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04 à 10/2023 +20,00dh
payé le 01/07/23</t>
        </r>
      </text>
    </comment>
    <comment ref="F143" authorId="0" shapeId="0" xr:uid="{70BD7C83-1669-4BCA-8BA2-AA03BD5F795B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01; 02; 03 &amp; 04/2023
payé le 05/04/23</t>
        </r>
      </text>
    </comment>
    <comment ref="H143" authorId="0" shapeId="0" xr:uid="{16EB56BF-8E33-4704-B631-30F261D32E47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05 &amp; 06/2023
payé le 15/06/23</t>
        </r>
      </text>
    </comment>
    <comment ref="J143" authorId="0" shapeId="0" xr:uid="{3DA047DE-BA6B-4A50-A2CD-3CE06740AA1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Juillet &amp; Aout 2023
Payé le 28/08/2023</t>
        </r>
      </text>
    </comment>
    <comment ref="M143" authorId="0" shapeId="0" xr:uid="{0189A8FE-4850-4DEF-A332-668988A6715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Septembre ,Octobre  &amp; Novembre 2023
Payé le 21/11/23</t>
        </r>
      </text>
    </comment>
    <comment ref="H144" authorId="0" shapeId="0" xr:uid="{0411533D-244A-4094-9B82-10EA93512774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12/2022 à 04/2023
payé le 07/06/23</t>
        </r>
      </text>
    </comment>
    <comment ref="J144" authorId="0" shapeId="0" xr:uid="{84EA2619-A33C-4C8D-AFA7-C1B9A2CDC8C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Mai à Septembre 2023
Payé le 26/08/23</t>
        </r>
      </text>
    </comment>
    <comment ref="H145" authorId="0" shapeId="0" xr:uid="{DBEA825F-06BD-43BE-BCB9-3D6B36663E71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 à 05/2023 
payé le 14/06/23</t>
        </r>
      </text>
    </comment>
    <comment ref="K145" authorId="0" shapeId="0" xr:uid="{6612B93A-32EA-4C09-8A71-0DBED6BC836F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Juin, juillet, Aout &amp; septembre 2023
Payé le 30/09/23</t>
        </r>
      </text>
    </comment>
    <comment ref="E146" authorId="0" shapeId="0" xr:uid="{EC3F741B-2792-4193-85F0-0CFF829970EA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01; 02 &amp; 03/2023
payé le 21/03/23</t>
        </r>
      </text>
    </comment>
    <comment ref="H146" authorId="0" shapeId="0" xr:uid="{5C618C58-5073-40A9-805D-73D5FCD402C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05/2023 payé le 12/6/23</t>
        </r>
      </text>
    </comment>
    <comment ref="I146" authorId="0" shapeId="0" xr:uid="{83C99478-0855-4449-BCD4-A8A383CDA4B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juin 2023 
payé le 23/07/23</t>
        </r>
      </text>
    </comment>
    <comment ref="J146" authorId="0" shapeId="0" xr:uid="{24A01977-D9BB-42C4-ADCA-2A422DAAE98C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Juillet &amp; Aout 2023
Payé le 29/08/2023</t>
        </r>
      </text>
    </comment>
    <comment ref="O146" authorId="0" shapeId="0" xr:uid="{3B44E939-700C-444E-A51D-F62B7A9CFBB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années 2021 , 2022 &amp; 2023
payé le 26/04/2023</t>
        </r>
      </text>
    </comment>
    <comment ref="F147" authorId="0" shapeId="0" xr:uid="{51B0DC79-C9DF-432D-A1AB-FB49E4EC921A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année 2023
virement sur BP du 27/04/2023</t>
        </r>
      </text>
    </comment>
    <comment ref="O147" authorId="0" shapeId="0" xr:uid="{4C2123E7-A2E4-43E9-AE06-CC3915878D13}">
      <text>
        <r>
          <rPr>
            <b/>
            <sz val="9"/>
            <color indexed="81"/>
            <rFont val="Tahoma"/>
            <family val="2"/>
          </rPr>
          <t>Syndic Intellak II:</t>
        </r>
        <r>
          <rPr>
            <sz val="9"/>
            <color indexed="81"/>
            <rFont val="Tahoma"/>
            <family val="2"/>
          </rPr>
          <t xml:space="preserve">
année 2023
virement sur BP du 27/04/2023</t>
        </r>
      </text>
    </comment>
  </commentList>
</comments>
</file>

<file path=xl/sharedStrings.xml><?xml version="1.0" encoding="utf-8"?>
<sst xmlns="http://schemas.openxmlformats.org/spreadsheetml/2006/main" count="3095" uniqueCount="583">
  <si>
    <t>SITUATION DES COTISATIONS</t>
  </si>
  <si>
    <t>Immeuble</t>
  </si>
  <si>
    <t>Année</t>
  </si>
  <si>
    <t>Apprt</t>
  </si>
  <si>
    <t>Copropriétaire</t>
  </si>
  <si>
    <t>Janvier</t>
  </si>
  <si>
    <t>Février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</si>
  <si>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</si>
  <si>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</si>
  <si>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</si>
  <si>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</si>
  <si>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</si>
  <si>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</si>
  <si>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</si>
  <si>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</si>
  <si>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</si>
  <si>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Décembre</t>
  </si>
  <si>
    <t>LAHRAS YOUNES</t>
  </si>
  <si>
    <t>YABOURI MED</t>
  </si>
  <si>
    <t>EL BAKKALI IDRISSI</t>
  </si>
  <si>
    <t>IDRISSI MOKHTAR</t>
  </si>
  <si>
    <t>HICHAM MANSOUR</t>
  </si>
  <si>
    <t>BENJELLOUN AMINE</t>
  </si>
  <si>
    <t>CHERKAOUI MOHAMED</t>
  </si>
  <si>
    <t>HIMDI FAROUK</t>
  </si>
  <si>
    <t>BENHAMMOU MOHAMED</t>
  </si>
  <si>
    <t>BOUFOUS KHALID</t>
  </si>
  <si>
    <t>EL OUARCHITI MOHAMED</t>
  </si>
  <si>
    <t xml:space="preserve">BENKARACHE </t>
  </si>
  <si>
    <t>ALOUI LHOUCINE</t>
  </si>
  <si>
    <t xml:space="preserve">LATRACH </t>
  </si>
  <si>
    <t xml:space="preserve">LAZRAK </t>
  </si>
  <si>
    <t>KEZZOULI ABDELGHANI</t>
  </si>
  <si>
    <t>YOUSFI SANAE</t>
  </si>
  <si>
    <t>CHBANI KACEM</t>
  </si>
  <si>
    <t xml:space="preserve">ASKAOUI </t>
  </si>
  <si>
    <t xml:space="preserve">MELLOUKI </t>
  </si>
  <si>
    <t xml:space="preserve">BOURAS </t>
  </si>
  <si>
    <t xml:space="preserve">ABDESSADEK </t>
  </si>
  <si>
    <t>MME BOUAYAD</t>
  </si>
  <si>
    <t>TOK HASSAN</t>
  </si>
  <si>
    <t>BELFKIH MUSTAFA</t>
  </si>
  <si>
    <t>OUHNAOUI MOHAMED</t>
  </si>
  <si>
    <t xml:space="preserve">BOURI </t>
  </si>
  <si>
    <t xml:space="preserve">MERNISSI </t>
  </si>
  <si>
    <t>DIOURI ABBES</t>
  </si>
  <si>
    <t>MAADAD ABDELKADER</t>
  </si>
  <si>
    <t xml:space="preserve">ETTAZI </t>
  </si>
  <si>
    <t xml:space="preserve">HADDOUCHI </t>
  </si>
  <si>
    <t>EL KMITI</t>
  </si>
  <si>
    <t>BENABDESLAM AHMED</t>
  </si>
  <si>
    <t>LAASOULI (HERITIERS)</t>
  </si>
  <si>
    <t>BERKA (HERITIERS)</t>
  </si>
  <si>
    <t>HAMMOUTAHAR AHMED</t>
  </si>
  <si>
    <t>ALAOUI ALI</t>
  </si>
  <si>
    <t xml:space="preserve">QELAI </t>
  </si>
  <si>
    <t xml:space="preserve">OUCHRAE </t>
  </si>
  <si>
    <t>AOURARH LHOUCINE</t>
  </si>
  <si>
    <t xml:space="preserve">BENJELLOUN </t>
  </si>
  <si>
    <t>HAYARI MOHAMED</t>
  </si>
  <si>
    <t xml:space="preserve">GHISSASSI </t>
  </si>
  <si>
    <t xml:space="preserve">IBRAHIMI </t>
  </si>
  <si>
    <t xml:space="preserve">ALAOUI </t>
  </si>
  <si>
    <t xml:space="preserve">KABILA </t>
  </si>
  <si>
    <t xml:space="preserve">MOUSSAOUI </t>
  </si>
  <si>
    <t xml:space="preserve">YASSINE </t>
  </si>
  <si>
    <t>BOUSFIHA (HERITIERS)</t>
  </si>
  <si>
    <t xml:space="preserve">SANJARI </t>
  </si>
  <si>
    <t>BERICHE FATIMA</t>
  </si>
  <si>
    <t>BENNIS ASSIA</t>
  </si>
  <si>
    <t>EL YOUBI</t>
  </si>
  <si>
    <t xml:space="preserve">TIBRI/MANTEK </t>
  </si>
  <si>
    <t>AANOUZ SAID</t>
  </si>
  <si>
    <t>EL ALAMI ABDELKADER</t>
  </si>
  <si>
    <t>EL GHOULI (HERITIERS)</t>
  </si>
  <si>
    <t>TAMIM AHMED</t>
  </si>
  <si>
    <t xml:space="preserve">LAHMANI </t>
  </si>
  <si>
    <t xml:space="preserve">BOUKRAA </t>
  </si>
  <si>
    <t>EL ALAMI MOHAMED</t>
  </si>
  <si>
    <t>LAHMIDI MOHAMED</t>
  </si>
  <si>
    <t>RAMZI (HERITIERS)</t>
  </si>
  <si>
    <t>TIDAF MILOUD</t>
  </si>
  <si>
    <t>NAHAL BACHIR</t>
  </si>
  <si>
    <t>EL FREM TAHAR</t>
  </si>
  <si>
    <t>SEBBANE MOHAMED</t>
  </si>
  <si>
    <t>NAFIE MOHAMED</t>
  </si>
  <si>
    <t>AIT DAHI MOHAMED</t>
  </si>
  <si>
    <t>BOUOUD AHMED</t>
  </si>
  <si>
    <t>ATMANE MOHAMED</t>
  </si>
  <si>
    <t>EL FILALI KHADIJA</t>
  </si>
  <si>
    <t>OUDGHIRI NOUZHA</t>
  </si>
  <si>
    <t>ENNADI BEKKALI</t>
  </si>
  <si>
    <t>Douk Abdelfatah</t>
  </si>
  <si>
    <t>Mouline MOHAMED</t>
  </si>
  <si>
    <t>Mekouar ABDERRAZAK</t>
  </si>
  <si>
    <t>Boutarbouch LAHCEN</t>
  </si>
  <si>
    <t>Lahjomri ABDELMAJID</t>
  </si>
  <si>
    <t xml:space="preserve">Nabil </t>
  </si>
  <si>
    <t>Belaoula MOHAMED</t>
  </si>
  <si>
    <t xml:space="preserve">FARES </t>
  </si>
  <si>
    <t xml:space="preserve">Benazzouz </t>
  </si>
  <si>
    <t>Bendaoud ABDLEKEBIR</t>
  </si>
  <si>
    <t>Dhamnia (HERITIERS)</t>
  </si>
  <si>
    <t>Ouguellit MOHAMED</t>
  </si>
  <si>
    <t>Douihri AHMED</t>
  </si>
  <si>
    <t>Ferhat BRAHIM</t>
  </si>
  <si>
    <t>EDDAIMI SAADIA</t>
  </si>
  <si>
    <t>EL OUFIR</t>
  </si>
  <si>
    <t>LAROUSSI ALI</t>
  </si>
  <si>
    <t>MAMANE HABIBA</t>
  </si>
  <si>
    <t>MORENO AHMED</t>
  </si>
  <si>
    <t>ALAOUI SALAH</t>
  </si>
  <si>
    <t xml:space="preserve">AROUSS </t>
  </si>
  <si>
    <t>AL KHADIRI AHMED</t>
  </si>
  <si>
    <t>OUGNAOU OMAR</t>
  </si>
  <si>
    <t>HAHIBY ALAOUI</t>
  </si>
  <si>
    <t>DAOUDI MOHAMED</t>
  </si>
  <si>
    <t>AMARRAY (HERITIERS)</t>
  </si>
  <si>
    <t xml:space="preserve">DOUK </t>
  </si>
  <si>
    <t>LHAOUD AHMED</t>
  </si>
  <si>
    <t>EL WARDIOUI</t>
  </si>
  <si>
    <t>Recette</t>
  </si>
  <si>
    <t>Type de Recette</t>
  </si>
  <si>
    <t>Date</t>
  </si>
  <si>
    <t>Montant</t>
  </si>
  <si>
    <t>Eléctricité Garage</t>
  </si>
  <si>
    <t>Mode Recette</t>
  </si>
  <si>
    <t>Espèce</t>
  </si>
  <si>
    <t>Chèque</t>
  </si>
  <si>
    <t>N° Pièce</t>
  </si>
  <si>
    <t>Total Chèque</t>
  </si>
  <si>
    <t>Total Espèce</t>
  </si>
  <si>
    <t>Virement</t>
  </si>
  <si>
    <t>SITUATION 2022</t>
  </si>
  <si>
    <t>MOIS</t>
  </si>
  <si>
    <t>TOTAL</t>
  </si>
  <si>
    <t>Redal</t>
  </si>
  <si>
    <t>Inwi</t>
  </si>
  <si>
    <t xml:space="preserve">REPORT: </t>
  </si>
  <si>
    <t>Janv</t>
  </si>
  <si>
    <t>Fev</t>
  </si>
  <si>
    <t>Août</t>
  </si>
  <si>
    <t>Sept</t>
  </si>
  <si>
    <t>Oct</t>
  </si>
  <si>
    <t>Nov</t>
  </si>
  <si>
    <t>Déc</t>
  </si>
  <si>
    <t xml:space="preserve">TOTAL </t>
  </si>
  <si>
    <t>SOLDE 2022</t>
  </si>
  <si>
    <t>RECETTES -DEPENSES 2019-2020-2021 : (154394,00)-(102322,00) =</t>
  </si>
  <si>
    <t>Type de Pièce</t>
  </si>
  <si>
    <t>Catégorie</t>
  </si>
  <si>
    <t>Journal Types</t>
  </si>
  <si>
    <t>Paie Personnel</t>
  </si>
  <si>
    <t>Primes Annuelles - Aid Al Adha</t>
  </si>
  <si>
    <t>Primes Annuelles - Aid El Fitr</t>
  </si>
  <si>
    <t>Téléphonie &amp; Electricité</t>
  </si>
  <si>
    <t>Dépenses Courantes</t>
  </si>
  <si>
    <t>Produits d'entretien</t>
  </si>
  <si>
    <t>Plomberie</t>
  </si>
  <si>
    <t>Entretien Electricité</t>
  </si>
  <si>
    <t>Entretien Espaces Verts</t>
  </si>
  <si>
    <t>Essence - Huile</t>
  </si>
  <si>
    <t>Plantations</t>
  </si>
  <si>
    <t>Travaux de Maçonnerie</t>
  </si>
  <si>
    <t>Peinture Extérieure des Immeubles</t>
  </si>
  <si>
    <t>Transfert</t>
  </si>
  <si>
    <t>Transfert SG Caisse</t>
  </si>
  <si>
    <t>Transfert Chaabi Caisse</t>
  </si>
  <si>
    <t>Mode Paiement</t>
  </si>
  <si>
    <t>Total</t>
  </si>
  <si>
    <t>Garage</t>
  </si>
  <si>
    <t>Remarques</t>
  </si>
  <si>
    <t>chèqueBP coc N° 7439562 du 23/01/23</t>
  </si>
  <si>
    <t>Barid Bank say N°3585484 du 20/08/22</t>
  </si>
  <si>
    <t>BP CPB 2757062(24/12/21) &amp; 063(27/7/22)</t>
  </si>
  <si>
    <t xml:space="preserve">BMCI MFC n°4447565 </t>
  </si>
  <si>
    <t>CIH,PVC 2401674 (10/2/22)&amp;676 (5/7/22)</t>
  </si>
  <si>
    <t>location Garage Syndic</t>
  </si>
  <si>
    <t>AIT DAHI SAID</t>
  </si>
  <si>
    <t>virements bancaires</t>
  </si>
  <si>
    <t>voir détail du remboursement  arriérés</t>
  </si>
  <si>
    <t>FERHAT BRAHIM</t>
  </si>
  <si>
    <t>BP CPC 7438968&amp;71 &amp;78 du 03,05 &amp; 07/22</t>
  </si>
  <si>
    <t xml:space="preserve">  </t>
  </si>
  <si>
    <t>virements bancaires du 02/06/22</t>
  </si>
  <si>
    <t>location garage syndic</t>
  </si>
  <si>
    <t xml:space="preserve">BENAZZOUZ </t>
  </si>
  <si>
    <t>PAYE</t>
  </si>
  <si>
    <t>paiement efféctué le 06/02/23</t>
  </si>
  <si>
    <t>Héritiérs BAKHIR</t>
  </si>
  <si>
    <t>paiement efféctué le 13/02/2023</t>
  </si>
  <si>
    <t>paiement efféctué le 09/02/2023</t>
  </si>
  <si>
    <t>paiement efféctué le 16/03/2023</t>
  </si>
  <si>
    <t>paiement efféctué le 01/03/2023</t>
  </si>
  <si>
    <t>paiement efféctué le 27/02/2023</t>
  </si>
  <si>
    <t>paiement efféctué le 03/03/2023</t>
  </si>
  <si>
    <t>paiement efféctué le 08/02/2023</t>
  </si>
  <si>
    <t>paiement efféctué le 07/02/2023</t>
  </si>
  <si>
    <t>HERITIERS BAKHIR</t>
  </si>
  <si>
    <t xml:space="preserve">HERITIERS BESLEM </t>
  </si>
  <si>
    <t>paiement efféctué les 03 &amp; 06/02/23</t>
  </si>
  <si>
    <t xml:space="preserve">chèque Attijari n°546134 DU 01/06/22 </t>
  </si>
  <si>
    <t>Loyer Garage</t>
  </si>
  <si>
    <t>Loyer Appart</t>
  </si>
  <si>
    <t>DOUK  Abdelouahed</t>
  </si>
  <si>
    <t>68/01</t>
  </si>
  <si>
    <t>69/02</t>
  </si>
  <si>
    <t>70/03</t>
  </si>
  <si>
    <t>Loyer Economat</t>
  </si>
  <si>
    <t>71/04</t>
  </si>
  <si>
    <t>72/05</t>
  </si>
  <si>
    <t>73/06</t>
  </si>
  <si>
    <t>74/07</t>
  </si>
  <si>
    <t>75/08</t>
  </si>
  <si>
    <t>juillet</t>
  </si>
  <si>
    <t xml:space="preserve"> janvier 2022</t>
  </si>
  <si>
    <t xml:space="preserve"> fevrier 2022</t>
  </si>
  <si>
    <t xml:space="preserve"> mars 2022</t>
  </si>
  <si>
    <t xml:space="preserve"> avril 2022</t>
  </si>
  <si>
    <t xml:space="preserve"> mai 2022</t>
  </si>
  <si>
    <t xml:space="preserve"> juin 2022</t>
  </si>
  <si>
    <t>76/09</t>
  </si>
  <si>
    <t>septembre</t>
  </si>
  <si>
    <t>aout (loyer: 1870,00; elect:130,00</t>
  </si>
  <si>
    <t>77/10</t>
  </si>
  <si>
    <t>octobre</t>
  </si>
  <si>
    <t>78/11</t>
  </si>
  <si>
    <t>novembre</t>
  </si>
  <si>
    <t>79/12</t>
  </si>
  <si>
    <t>decembre</t>
  </si>
  <si>
    <t>mai 20020</t>
  </si>
  <si>
    <t>juillet &amp; aout 2020</t>
  </si>
  <si>
    <t>septembre &amp; octobre 2020</t>
  </si>
  <si>
    <t>novembre &amp; decembre 2020</t>
  </si>
  <si>
    <t>janvier &amp; fevrier 2021</t>
  </si>
  <si>
    <t>mars &amp; avril 2021</t>
  </si>
  <si>
    <t>mai &amp; juin 2021</t>
  </si>
  <si>
    <t>Electricité Economat</t>
  </si>
  <si>
    <t>mars à novembre 2021</t>
  </si>
  <si>
    <t>decembre 2021 à septembre2022</t>
  </si>
  <si>
    <t>juillet  2021 à juillet 2022</t>
  </si>
  <si>
    <t>Mois</t>
  </si>
  <si>
    <t>novembre 21 à fin 2023 (23/08/2022)</t>
  </si>
  <si>
    <t>Paiement efféctué le 23/08/2022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</si>
  <si>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</si>
  <si>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</si>
  <si>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</t>
  </si>
  <si>
    <t xml:space="preserve">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</si>
  <si>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</t>
  </si>
  <si>
    <t>paiement efféctué le 31/01/2023</t>
  </si>
  <si>
    <t>BALBOUL LAHCEN</t>
  </si>
  <si>
    <t>1er semestre 2022 payé le 13/12/2021</t>
  </si>
  <si>
    <t>compte BP</t>
  </si>
  <si>
    <t>electricité garage: 2021</t>
  </si>
  <si>
    <t>virements bancaires : compte BP</t>
  </si>
  <si>
    <t>comptes BP et TGR</t>
  </si>
  <si>
    <t>NB:  VERSEMENTS EFFECTUES SUR COMPTES SYNDIC (BP &amp; TGR) A PARTIR DE LA CAISSE:</t>
  </si>
  <si>
    <t>BP:  le 19/01/22: 3000,00dh;  le 01/02/22: 2500,00dh; le 15/03/22: 2000,00dh; le 18/04/22: 3000,00dh; le 27/04/22: 1000,00dh</t>
  </si>
  <si>
    <t>80/01</t>
  </si>
  <si>
    <t>81/02</t>
  </si>
  <si>
    <t xml:space="preserve">fevrier </t>
  </si>
  <si>
    <t>82/03</t>
  </si>
  <si>
    <t>mars</t>
  </si>
  <si>
    <t>Aout &amp; septembre 2022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</si>
  <si>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</si>
  <si>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TGR: le 25/07/22: 3000,00dh; le 10/08/22: 5000,00dh; </t>
  </si>
  <si>
    <t>Mme Sadi AHMED</t>
  </si>
  <si>
    <t>Mme CHERKAOUI</t>
  </si>
  <si>
    <t>Description Dépense</t>
  </si>
  <si>
    <t>Travaux</t>
  </si>
  <si>
    <t>avril</t>
  </si>
  <si>
    <t>janvier</t>
  </si>
  <si>
    <t>mai</t>
  </si>
  <si>
    <t>juin</t>
  </si>
  <si>
    <t>décembre</t>
  </si>
  <si>
    <t>Divers</t>
  </si>
  <si>
    <t>pourboir agents REDAL</t>
  </si>
  <si>
    <t>bp:coc 6309625</t>
  </si>
  <si>
    <t>éclairage escalier Imm: 6</t>
  </si>
  <si>
    <t>pannel rond 12W Imm: 6</t>
  </si>
  <si>
    <t>forfait du 12/21</t>
  </si>
  <si>
    <t>consommation du 12/21</t>
  </si>
  <si>
    <t>entretien PC</t>
  </si>
  <si>
    <t>frais médicaux Mbarek gardien</t>
  </si>
  <si>
    <t>serpières</t>
  </si>
  <si>
    <t>débouchage regard Imm: 6</t>
  </si>
  <si>
    <t xml:space="preserve">remise en état des acrotères </t>
  </si>
  <si>
    <t>bp:coc 6309626</t>
  </si>
  <si>
    <t>consommation du 01/22</t>
  </si>
  <si>
    <t>bp:AAA 1300001</t>
  </si>
  <si>
    <t>repose plaque: accès résérvé..</t>
  </si>
  <si>
    <t>forfait du 01/22</t>
  </si>
  <si>
    <t>détergent OMO</t>
  </si>
  <si>
    <t>essence</t>
  </si>
  <si>
    <t>débouchage regards RC Im: 6</t>
  </si>
  <si>
    <t>fevrier</t>
  </si>
  <si>
    <t>Khadija remplacente Fatima</t>
  </si>
  <si>
    <t>consommation du 02/22</t>
  </si>
  <si>
    <t>bp:AAA 1300002</t>
  </si>
  <si>
    <t>ampoules B22</t>
  </si>
  <si>
    <t>forfait du 02/22</t>
  </si>
  <si>
    <t>étanchéité acrotaires + divers</t>
  </si>
  <si>
    <t>bp:AAA 1300003</t>
  </si>
  <si>
    <t>Béquille double porte local VO</t>
  </si>
  <si>
    <t>entretien réseau d'égout Im. 4</t>
  </si>
  <si>
    <t>huile pour tondeuse à gazon</t>
  </si>
  <si>
    <t>consommation du 03/22</t>
  </si>
  <si>
    <t>bp:AAA 1300004</t>
  </si>
  <si>
    <t>cartouche d'encre imprimante</t>
  </si>
  <si>
    <t>savonettes</t>
  </si>
  <si>
    <t>pannel rond  led 12W  Imm: 1</t>
  </si>
  <si>
    <t>fil coupe broussailles</t>
  </si>
  <si>
    <t>fuite conduite eaux usées Im:1</t>
  </si>
  <si>
    <t xml:space="preserve"> installation de pompage </t>
  </si>
  <si>
    <t>tableau de commande</t>
  </si>
  <si>
    <t>insecticide</t>
  </si>
  <si>
    <t>conduite eau potable Im:2 apt3</t>
  </si>
  <si>
    <t xml:space="preserve"> fevrier</t>
  </si>
  <si>
    <t xml:space="preserve"> mars</t>
  </si>
  <si>
    <t xml:space="preserve"> janvier</t>
  </si>
  <si>
    <t>consommation du 04/22</t>
  </si>
  <si>
    <t>bp:AAA 1300005</t>
  </si>
  <si>
    <t>forfait du 03/22</t>
  </si>
  <si>
    <t>forfait du 04/22</t>
  </si>
  <si>
    <t>réparation unité central PC</t>
  </si>
  <si>
    <t>colmatage gaine Im: 6; apt: 16</t>
  </si>
  <si>
    <t xml:space="preserve">lampes B22; Led STD 13W </t>
  </si>
  <si>
    <t>colliers de serrage</t>
  </si>
  <si>
    <t>conduite eau potable Im:5 apt12</t>
  </si>
  <si>
    <t>Prélèvement CNSS</t>
  </si>
  <si>
    <t>photocopies A3</t>
  </si>
  <si>
    <t>scotch</t>
  </si>
  <si>
    <t>forfait 05/22</t>
  </si>
  <si>
    <t>Prélèvement</t>
  </si>
  <si>
    <t>cage d'escalier Imm: 5</t>
  </si>
  <si>
    <t>consommation du 05/22</t>
  </si>
  <si>
    <t>bp:AAA 1300006</t>
  </si>
  <si>
    <t xml:space="preserve"> eau de javel +  nettoyant sol</t>
  </si>
  <si>
    <t>conduite eau potable Im:6 apt16</t>
  </si>
  <si>
    <t>pourboir agents Commune</t>
  </si>
  <si>
    <t>1ère quinzaine</t>
  </si>
  <si>
    <t>photocopies AGO du 06/07/22</t>
  </si>
  <si>
    <t>gants pour femme de ménage</t>
  </si>
  <si>
    <t>hiule</t>
  </si>
  <si>
    <t>réparation parabole TAMIM</t>
  </si>
  <si>
    <t>cartouche pour imprimante</t>
  </si>
  <si>
    <t>colmatage gaine Im: 6; apt: 8</t>
  </si>
  <si>
    <t>2ème quinzaine</t>
  </si>
  <si>
    <t>consommation du 06/22</t>
  </si>
  <si>
    <t>bp:AAA 1300007</t>
  </si>
  <si>
    <t>serpière + manches balai</t>
  </si>
  <si>
    <t>paiement R C M'barek</t>
  </si>
  <si>
    <t>sachets plastique</t>
  </si>
  <si>
    <t>sachets plastique/ poubelle</t>
  </si>
  <si>
    <t xml:space="preserve">photocopies AGO 2022 </t>
  </si>
  <si>
    <t>forfait 06/22</t>
  </si>
  <si>
    <t>gants pour jardiniers</t>
  </si>
  <si>
    <t>éclairage entrée Imm: 3</t>
  </si>
  <si>
    <t xml:space="preserve"> fuite nourrice  Imm: 2 Apt:6</t>
  </si>
  <si>
    <t>consommation du 07/22</t>
  </si>
  <si>
    <t>bp:AAA 1300008</t>
  </si>
  <si>
    <t>calculatrice</t>
  </si>
  <si>
    <t>crochets porte clés</t>
  </si>
  <si>
    <t>paire de ciseau</t>
  </si>
  <si>
    <t>Béquille double porte Imm: 6</t>
  </si>
  <si>
    <t>détérgent  Tide (48Ux100 G)</t>
  </si>
  <si>
    <t>jeu  de clés plates</t>
  </si>
  <si>
    <t>saisie &amp; frappe</t>
  </si>
  <si>
    <t>Materiel/ pièces rechange</t>
  </si>
  <si>
    <t>filtre à air pour tondeuse</t>
  </si>
  <si>
    <t>forfait 07/22</t>
  </si>
  <si>
    <t>rame de papier + trombones</t>
  </si>
  <si>
    <t xml:space="preserve"> fuite nourrice  Imm: 2 Apt:8</t>
  </si>
  <si>
    <t>eclairage entrée Imm: 1</t>
  </si>
  <si>
    <t>taxes services communaux</t>
  </si>
  <si>
    <t>bp:AAA 1300009</t>
  </si>
  <si>
    <t>débouchage conduites Imm: 3</t>
  </si>
  <si>
    <t>conduite arrivée Imm: 2 Apt: 6</t>
  </si>
  <si>
    <t>débouchage conduites Imm: 4</t>
  </si>
  <si>
    <t>ampoules Led B22</t>
  </si>
  <si>
    <t>conduite arrivée Imm: 3 Apt: 14</t>
  </si>
  <si>
    <t>consommation du 08/22</t>
  </si>
  <si>
    <t>bp:AAA 1300010</t>
  </si>
  <si>
    <t>forfait 08/22</t>
  </si>
  <si>
    <t>Paie &amp; Primes &amp; CNSS</t>
  </si>
  <si>
    <t>1ère quinzaine (+5% du 01/9/22)</t>
  </si>
  <si>
    <t>réparation débroussailleuse</t>
  </si>
  <si>
    <t>pourboir agents Redal</t>
  </si>
  <si>
    <t>manche à balais</t>
  </si>
  <si>
    <t>éclairage garages</t>
  </si>
  <si>
    <t>frais fiches enthroprométrique</t>
  </si>
  <si>
    <t xml:space="preserve">Installation de pompage </t>
  </si>
  <si>
    <t xml:space="preserve"> </t>
  </si>
  <si>
    <t>consommation du 09/22</t>
  </si>
  <si>
    <t>bp:AAA 1300011</t>
  </si>
  <si>
    <t>forfait 09/22</t>
  </si>
  <si>
    <t>éclairage cage d'escalier Im:1</t>
  </si>
  <si>
    <t>conduite arrivée Imm: 5 Apt: 15</t>
  </si>
  <si>
    <t xml:space="preserve">1ère quinzaine </t>
  </si>
  <si>
    <t>élagage palmiers</t>
  </si>
  <si>
    <t>insecticide anti-cafards</t>
  </si>
  <si>
    <t>ciment</t>
  </si>
  <si>
    <t>crapaudines</t>
  </si>
  <si>
    <t>restitution retenue de garantie</t>
  </si>
  <si>
    <t>TGR: YA 4624535</t>
  </si>
  <si>
    <t>pourboire ouvriers</t>
  </si>
  <si>
    <t>boite aux lettres</t>
  </si>
  <si>
    <t>consommation du 10/22</t>
  </si>
  <si>
    <t>bp:AAA 1300012</t>
  </si>
  <si>
    <t xml:space="preserve"> couverture guerite en Alu</t>
  </si>
  <si>
    <t>forfait 10/22</t>
  </si>
  <si>
    <t>bp:AAA 1300013</t>
  </si>
  <si>
    <t xml:space="preserve">  débouchage égout Im: 4 Apt:1                      </t>
  </si>
  <si>
    <t>forfait 11/22</t>
  </si>
  <si>
    <t>guâche éléctrique</t>
  </si>
  <si>
    <t xml:space="preserve"> entretien interphone Im: 1 &amp; 5</t>
  </si>
  <si>
    <t>Ecran 20" HP</t>
  </si>
  <si>
    <t>tapis brosse pour IMM: 5 &amp; 6</t>
  </si>
  <si>
    <t>stylos (6)</t>
  </si>
  <si>
    <t xml:space="preserve">Participation Syndic aux Trx des Im: </t>
  </si>
  <si>
    <t>rénovation entrée Im: 3</t>
  </si>
  <si>
    <t>bp:AAA 1300014</t>
  </si>
  <si>
    <t>consommation du 11/22</t>
  </si>
  <si>
    <t>consommation du 12/22</t>
  </si>
  <si>
    <t>forfait 12/22</t>
  </si>
  <si>
    <t>balais gazon &amp; poubelle</t>
  </si>
  <si>
    <t xml:space="preserve">  débouchage égout Im:2 Apt:8                      </t>
  </si>
  <si>
    <t>combinaisons pour jardiniers</t>
  </si>
  <si>
    <t>blouses pour femmes  ménage</t>
  </si>
  <si>
    <t>frappe + tirage en arabe</t>
  </si>
  <si>
    <t>cadenas pour local technique</t>
  </si>
  <si>
    <t>chaine pour tronçonneuse</t>
  </si>
  <si>
    <t>éclérage cage d'escalier Im: 6</t>
  </si>
  <si>
    <t xml:space="preserve">   </t>
  </si>
  <si>
    <t>MME CHERKAOUI</t>
  </si>
  <si>
    <t>janvier à novembre 2023 payé le 19/11/22</t>
  </si>
  <si>
    <t>Héritiers ASSAMAOUAT</t>
  </si>
  <si>
    <t>HERITIERS ASSAMAOUAT</t>
  </si>
  <si>
    <t>83/04</t>
  </si>
  <si>
    <t>octobre b&amp; novembre 2022</t>
  </si>
  <si>
    <t>mai BP</t>
  </si>
  <si>
    <t xml:space="preserve"> avril  BP</t>
  </si>
  <si>
    <t>mars BP</t>
  </si>
  <si>
    <t>fevrier BP</t>
  </si>
  <si>
    <t>janvier BP</t>
  </si>
  <si>
    <t>décembre BP</t>
  </si>
  <si>
    <t xml:space="preserve">fevrier BP </t>
  </si>
  <si>
    <t>avril BP</t>
  </si>
  <si>
    <t>juin BP</t>
  </si>
  <si>
    <t>juillet BP</t>
  </si>
  <si>
    <t>aout BP</t>
  </si>
  <si>
    <t>septembre BP</t>
  </si>
  <si>
    <t>octobre BP</t>
  </si>
  <si>
    <t>novembre BP</t>
  </si>
  <si>
    <t>84/05</t>
  </si>
  <si>
    <t>décembre 2022 &amp; janvier 2023</t>
  </si>
  <si>
    <t>consommation du 01/23</t>
  </si>
  <si>
    <t>bp AAA 1300015</t>
  </si>
  <si>
    <t>eau période: 20/09 au 19/10/22</t>
  </si>
  <si>
    <t>débouchage égout Imm: 5</t>
  </si>
  <si>
    <t>aide au débouchage Imm: 5</t>
  </si>
  <si>
    <t>forfait 01/2023</t>
  </si>
  <si>
    <t>entretien courant</t>
  </si>
  <si>
    <t xml:space="preserve">cisaille </t>
  </si>
  <si>
    <t>remplacement vitrage guérite</t>
  </si>
  <si>
    <t>1ière quinzaine</t>
  </si>
  <si>
    <t>colle UHU</t>
  </si>
  <si>
    <t>disque dure externe</t>
  </si>
  <si>
    <t>cable USB</t>
  </si>
  <si>
    <t>robinet VO Imm: 3 &amp; toile/pers</t>
  </si>
  <si>
    <t>remplacement conduite écono</t>
  </si>
  <si>
    <t>consommation du 02/23</t>
  </si>
  <si>
    <t>bp AAA 1300016</t>
  </si>
  <si>
    <t>indemnisation Barhousse gardi</t>
  </si>
  <si>
    <t>bp AAA 1300017</t>
  </si>
  <si>
    <t>Mme ALAMI ABDELKADER</t>
  </si>
  <si>
    <t xml:space="preserve">Mme SEBBANE </t>
  </si>
  <si>
    <t>nourrice Imm.5 Appt.3</t>
  </si>
  <si>
    <t>paire de gant femme ménage</t>
  </si>
  <si>
    <t>remplacet serrure local syndic</t>
  </si>
  <si>
    <t>carnet "quittance loyer"</t>
  </si>
  <si>
    <t xml:space="preserve"> nourrices Im.4 apt12/Im5 apt15 </t>
  </si>
  <si>
    <t>ampoules B22 Led 11watt</t>
  </si>
  <si>
    <t>forfait 02/2023</t>
  </si>
  <si>
    <t>essence + huile</t>
  </si>
  <si>
    <t>réparation interphone Im.5</t>
  </si>
  <si>
    <t>bequilles porte V.O Im.5</t>
  </si>
  <si>
    <t>paires de gants jardiniers</t>
  </si>
  <si>
    <t>détergent TIDE 48 unités</t>
  </si>
  <si>
    <t>consommation du 03/23</t>
  </si>
  <si>
    <t>bp AAA 1300019</t>
  </si>
  <si>
    <t>forfait 03/2023</t>
  </si>
  <si>
    <t>Aid El Fitr</t>
  </si>
  <si>
    <t>pourboire Eboueurs</t>
  </si>
  <si>
    <t>2 paires de bottes / arrosage</t>
  </si>
  <si>
    <t>consommation du 04/23</t>
  </si>
  <si>
    <t>consommation logemt syndic</t>
  </si>
  <si>
    <t>réparation interphone Imm.1</t>
  </si>
  <si>
    <t>bp AAA 1300020</t>
  </si>
  <si>
    <t>débouchage conduites Imm.5</t>
  </si>
  <si>
    <t>forfait 04/2023</t>
  </si>
  <si>
    <t>consommation du 05/23</t>
  </si>
  <si>
    <t>bp AAA 1300021</t>
  </si>
  <si>
    <t>bp AAA 1300022</t>
  </si>
  <si>
    <t xml:space="preserve">nourrice branchemt apt12 Im6 </t>
  </si>
  <si>
    <t>Aid El Adha</t>
  </si>
  <si>
    <t>forfait 05/2023</t>
  </si>
  <si>
    <t>consommation du 06/23</t>
  </si>
  <si>
    <t>bp AAA 1300023</t>
  </si>
  <si>
    <t xml:space="preserve">rame de papier </t>
  </si>
  <si>
    <t>lettres recommandées</t>
  </si>
  <si>
    <t>huille materiel jardin</t>
  </si>
  <si>
    <t>85/06</t>
  </si>
  <si>
    <t xml:space="preserve">juin </t>
  </si>
  <si>
    <t>février &amp; mars 2023</t>
  </si>
  <si>
    <t>Héritiers LHAOUD AHMED</t>
  </si>
  <si>
    <t>novbre &amp; décbre 2022 payés le 24/07/23</t>
  </si>
  <si>
    <t>chque KBC9001090 annule KBC9001086</t>
  </si>
  <si>
    <t xml:space="preserve">Hétitiers Boutarbouch </t>
  </si>
  <si>
    <t>remplaçante Aicha en congé</t>
  </si>
  <si>
    <t>pourboir agent Sce d'hygiène</t>
  </si>
  <si>
    <t>salaire FAHSI 10j  démission</t>
  </si>
  <si>
    <t>eau de javei</t>
  </si>
  <si>
    <t>nettoyant sol</t>
  </si>
  <si>
    <t>fuite + remplact robinet Imm 6</t>
  </si>
  <si>
    <t>fil de fer  galvanisé</t>
  </si>
  <si>
    <t xml:space="preserve">Madame LATRACH </t>
  </si>
  <si>
    <t>consommation du 07/23</t>
  </si>
  <si>
    <t>bp AAA 1300024</t>
  </si>
  <si>
    <t>bloc alimentation PC</t>
  </si>
  <si>
    <t>Août BP</t>
  </si>
  <si>
    <t xml:space="preserve">HéritiersBENKARACHE </t>
  </si>
  <si>
    <t>86/07</t>
  </si>
  <si>
    <t>avril &amp; mai 2023</t>
  </si>
  <si>
    <t>LAHRACH YOUNES</t>
  </si>
  <si>
    <t>esptit de sel</t>
  </si>
  <si>
    <t>conduite eaux usées Imm: 4</t>
  </si>
  <si>
    <t>bougie pour taille haie</t>
  </si>
  <si>
    <t>forfait 06/2023</t>
  </si>
  <si>
    <t>forfait 07/2023</t>
  </si>
  <si>
    <t>débouchage égout Im: 2 apt: 4</t>
  </si>
  <si>
    <t>débouchage égout Im: 4 apt: 1</t>
  </si>
  <si>
    <t xml:space="preserve">Héritiers MERNISSI </t>
  </si>
  <si>
    <t>débouchage égout Im: 4 apt: 3</t>
  </si>
  <si>
    <t>87/08</t>
  </si>
  <si>
    <t>juin &amp; juillet 2023</t>
  </si>
  <si>
    <t>Mme FARES  Ilham</t>
  </si>
  <si>
    <t>Mme AGNAOU Malika</t>
  </si>
  <si>
    <t>Versé sur TGR</t>
  </si>
  <si>
    <t>Ampoules 9W</t>
  </si>
  <si>
    <t>pourboire agents Redal</t>
  </si>
  <si>
    <t>rappel 1ière quinzaine</t>
  </si>
  <si>
    <t>consommation du 08/23</t>
  </si>
  <si>
    <t>bp AAA 1300025</t>
  </si>
  <si>
    <t>forfait 08/2023</t>
  </si>
  <si>
    <t>gants / femmes de ménage</t>
  </si>
  <si>
    <t>consommation du 09/23</t>
  </si>
  <si>
    <t>bp AAA 1300026</t>
  </si>
  <si>
    <t xml:space="preserve"> Mme BENDAOUD </t>
  </si>
  <si>
    <t>fuite hall Mekouar (Lahjoumri)</t>
  </si>
  <si>
    <t>88/09</t>
  </si>
  <si>
    <t>cartouche imprimante</t>
  </si>
  <si>
    <t>pourboire agents Commune</t>
  </si>
  <si>
    <t>fuite conduite Appt 16 Imm, 6</t>
  </si>
  <si>
    <t>consommation du 10/23</t>
  </si>
  <si>
    <t>bp AAA 1300027</t>
  </si>
  <si>
    <t>reprise faux plafond Mekouar</t>
  </si>
  <si>
    <t>serpillères</t>
  </si>
  <si>
    <t>NB:  VERSEMENTS EFFECTUES SUR COMPTE SYNDIC TGR A PARTIR DE LA CAISSE:</t>
  </si>
  <si>
    <t>TGR:  le 13/02/23: 4000,00dh; le 13/03/23: 4500,00dh; le 24/03/233: 3000,00dh; le 11/04/23: 7000,00dh; le 14/07/23: 6000,00dh; le 11//09/23: 10000,00dh; le 16/11/2023: 5300,00dh</t>
  </si>
  <si>
    <t>fuite conduite Appt 15 Imm, 5</t>
  </si>
  <si>
    <t>Tampon de regard galvanisé</t>
  </si>
  <si>
    <t>remplacement fenêtre Imm: 3</t>
  </si>
  <si>
    <t>Année 2024 Payé le 27/11/2023</t>
  </si>
  <si>
    <t xml:space="preserve">RECETTES </t>
  </si>
  <si>
    <t>DEPENSES</t>
  </si>
  <si>
    <t>Cotisations</t>
  </si>
  <si>
    <t>Agios</t>
  </si>
  <si>
    <t>Primes Annuelles</t>
  </si>
  <si>
    <t>Banque</t>
  </si>
  <si>
    <t>BP</t>
  </si>
  <si>
    <t>TGR</t>
  </si>
  <si>
    <t>Caisse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</si>
</sst>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0\ _€_-;\-* #,##0.00\ _€_-;_-* &quot;-&quot;??\ _€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badi"/>
      <family val="2"/>
    </font>
    <font>
      <b/>
      <sz val="12"/>
      <color theme="1"/>
      <name val="Abadi"/>
      <family val="2"/>
    </font>
    <font>
      <b/>
      <sz val="11"/>
      <color theme="1"/>
      <name val="Abadi"/>
      <family val="2"/>
    </font>
    <font>
      <b/>
      <sz val="11"/>
      <color rgb="FF0070C0"/>
      <name val="Abadi"/>
      <family val="2"/>
    </font>
    <font>
      <sz val="11"/>
      <color indexed="9"/>
      <name val="Calibri"/>
      <family val="2"/>
      <scheme val="minor"/>
    </font>
    <font>
      <sz val="11"/>
      <color theme="1"/>
      <name val="Candara"/>
      <family val="2"/>
    </font>
    <font>
      <b/>
      <sz val="11"/>
      <color theme="0"/>
      <name val="Candara"/>
      <family val="2"/>
    </font>
    <font>
      <b/>
      <sz val="11"/>
      <color theme="1"/>
      <name val="Candara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1"/>
      <name val="Tahoma"/>
      <family val="2"/>
    </font>
    <font>
      <b/>
      <sz val="11"/>
      <color indexed="81"/>
      <name val="Tahoma"/>
      <family val="2"/>
    </font>
    <font>
      <sz val="11"/>
      <color theme="1"/>
      <name val="Montserrat"/>
    </font>
    <font>
      <b/>
      <sz val="11"/>
      <color theme="1"/>
      <name val="Montserrat"/>
    </font>
    <font>
      <b/>
      <sz val="11"/>
      <name val="Montserrat"/>
    </font>
    <font>
      <sz val="10"/>
      <color theme="1"/>
      <name val="Montserrat"/>
    </font>
    <font>
      <sz val="11"/>
      <color rgb="FF240085"/>
      <name val="Montserrat"/>
    </font>
    <font>
      <sz val="9"/>
      <color theme="1"/>
      <name val="Montserrat"/>
    </font>
    <font>
      <b/>
      <sz val="9"/>
      <color theme="1"/>
      <name val="Montserrat"/>
    </font>
    <font>
      <sz val="10"/>
      <color rgb="FF006100"/>
      <name val="Montserrat"/>
      <family val="2"/>
    </font>
    <font>
      <b/>
      <sz val="10"/>
      <color theme="1"/>
      <name val="Montserrat"/>
    </font>
  </fonts>
  <fills count="1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mediumGray"/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9" tint="0.59999389629810485"/>
      </patternFill>
    </fill>
    <fill>
      <patternFill patternType="solid">
        <fgColor rgb="FFC6EFCE"/>
      </patternFill>
    </fill>
    <fill>
      <patternFill patternType="solid">
        <fgColor theme="5" tint="0.39997558519241921"/>
        <bgColor theme="9" tint="0.59999389629810485"/>
      </patternFill>
    </fill>
    <fill>
      <patternFill patternType="solid">
        <fgColor theme="5" tint="0.39997558519241921"/>
        <bgColor indexed="64"/>
      </patternFill>
    </fill>
  </fills>
  <borders count="41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 style="thin">
        <color theme="0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5" fillId="13" borderId="0" applyNumberFormat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0" fillId="0" borderId="1" xfId="0" applyBorder="1"/>
    <xf numFmtId="0" fontId="8" fillId="0" borderId="0" xfId="0" applyFont="1"/>
    <xf numFmtId="164" fontId="8" fillId="0" borderId="0" xfId="1" applyFont="1"/>
    <xf numFmtId="164" fontId="10" fillId="0" borderId="2" xfId="1" applyFont="1" applyBorder="1"/>
    <xf numFmtId="0" fontId="9" fillId="3" borderId="2" xfId="0" applyFont="1" applyFill="1" applyBorder="1"/>
    <xf numFmtId="0" fontId="8" fillId="0" borderId="0" xfId="0" applyFont="1" applyAlignment="1">
      <alignment horizontal="center"/>
    </xf>
    <xf numFmtId="164" fontId="8" fillId="0" borderId="0" xfId="1" applyFont="1" applyAlignment="1">
      <alignment horizontal="center"/>
    </xf>
    <xf numFmtId="14" fontId="8" fillId="0" borderId="0" xfId="0" applyNumberFormat="1" applyFont="1"/>
    <xf numFmtId="0" fontId="8" fillId="4" borderId="0" xfId="0" applyFont="1" applyFill="1"/>
    <xf numFmtId="0" fontId="8" fillId="4" borderId="0" xfId="0" applyFont="1" applyFill="1" applyAlignment="1">
      <alignment horizontal="center"/>
    </xf>
    <xf numFmtId="0" fontId="0" fillId="0" borderId="20" xfId="0" applyBorder="1"/>
    <xf numFmtId="0" fontId="7" fillId="2" borderId="2" xfId="0" applyFont="1" applyFill="1" applyBorder="1" applyAlignment="1">
      <alignment horizontal="center" vertical="center"/>
    </xf>
    <xf numFmtId="164" fontId="0" fillId="0" borderId="2" xfId="1" applyFont="1" applyBorder="1"/>
    <xf numFmtId="164" fontId="2" fillId="4" borderId="21" xfId="1" applyFont="1" applyFill="1" applyBorder="1"/>
    <xf numFmtId="164" fontId="2" fillId="0" borderId="1" xfId="1" applyFont="1" applyBorder="1"/>
    <xf numFmtId="0" fontId="0" fillId="7" borderId="22" xfId="0" applyFill="1" applyBorder="1" applyAlignment="1">
      <alignment horizontal="center"/>
    </xf>
    <xf numFmtId="164" fontId="0" fillId="7" borderId="20" xfId="1" applyFont="1" applyFill="1" applyBorder="1" applyAlignment="1"/>
    <xf numFmtId="0" fontId="0" fillId="8" borderId="1" xfId="0" applyFill="1" applyBorder="1"/>
    <xf numFmtId="0" fontId="0" fillId="7" borderId="1" xfId="0" applyFill="1" applyBorder="1"/>
    <xf numFmtId="0" fontId="0" fillId="6" borderId="1" xfId="0" applyFill="1" applyBorder="1"/>
    <xf numFmtId="17" fontId="8" fillId="0" borderId="0" xfId="0" applyNumberFormat="1" applyFont="1"/>
    <xf numFmtId="49" fontId="8" fillId="0" borderId="0" xfId="0" applyNumberFormat="1" applyFont="1" applyAlignment="1">
      <alignment horizontal="center"/>
    </xf>
    <xf numFmtId="49" fontId="8" fillId="0" borderId="0" xfId="0" applyNumberFormat="1" applyFont="1"/>
    <xf numFmtId="0" fontId="0" fillId="0" borderId="22" xfId="0" applyBorder="1" applyAlignment="1">
      <alignment horizontal="center"/>
    </xf>
    <xf numFmtId="0" fontId="0" fillId="7" borderId="2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2" xfId="0" applyBorder="1"/>
    <xf numFmtId="0" fontId="0" fillId="7" borderId="20" xfId="0" applyFill="1" applyBorder="1"/>
    <xf numFmtId="0" fontId="0" fillId="6" borderId="1" xfId="0" applyFill="1" applyBorder="1" applyAlignment="1">
      <alignment horizontal="center"/>
    </xf>
    <xf numFmtId="0" fontId="0" fillId="6" borderId="22" xfId="0" applyFill="1" applyBorder="1"/>
    <xf numFmtId="0" fontId="0" fillId="7" borderId="22" xfId="0" applyFill="1" applyBorder="1"/>
    <xf numFmtId="0" fontId="8" fillId="9" borderId="27" xfId="0" applyFont="1" applyFill="1" applyBorder="1"/>
    <xf numFmtId="164" fontId="8" fillId="0" borderId="0" xfId="1" applyFont="1" applyBorder="1"/>
    <xf numFmtId="0" fontId="8" fillId="10" borderId="27" xfId="0" applyFont="1" applyFill="1" applyBorder="1"/>
    <xf numFmtId="2" fontId="8" fillId="0" borderId="0" xfId="0" applyNumberFormat="1" applyFont="1"/>
    <xf numFmtId="0" fontId="0" fillId="0" borderId="23" xfId="0" applyBorder="1"/>
    <xf numFmtId="0" fontId="11" fillId="0" borderId="0" xfId="0" applyFont="1"/>
    <xf numFmtId="0" fontId="0" fillId="0" borderId="28" xfId="0" applyBorder="1"/>
    <xf numFmtId="165" fontId="0" fillId="0" borderId="0" xfId="0" applyNumberFormat="1"/>
    <xf numFmtId="164" fontId="8" fillId="0" borderId="0" xfId="0" applyNumberFormat="1" applyFont="1"/>
    <xf numFmtId="164" fontId="0" fillId="0" borderId="0" xfId="1" applyFont="1"/>
    <xf numFmtId="164" fontId="0" fillId="0" borderId="0" xfId="0" applyNumberFormat="1"/>
    <xf numFmtId="0" fontId="18" fillId="0" borderId="0" xfId="0" applyFont="1"/>
    <xf numFmtId="164" fontId="18" fillId="5" borderId="7" xfId="1" applyFont="1" applyFill="1" applyBorder="1"/>
    <xf numFmtId="164" fontId="18" fillId="5" borderId="11" xfId="1" applyFont="1" applyFill="1" applyBorder="1"/>
    <xf numFmtId="164" fontId="21" fillId="5" borderId="12" xfId="1" applyFont="1" applyFill="1" applyBorder="1"/>
    <xf numFmtId="0" fontId="18" fillId="5" borderId="3" xfId="0" applyFont="1" applyFill="1" applyBorder="1" applyAlignment="1">
      <alignment vertical="center"/>
    </xf>
    <xf numFmtId="0" fontId="19" fillId="5" borderId="6" xfId="0" applyFont="1" applyFill="1" applyBorder="1" applyAlignment="1">
      <alignment horizontal="center" vertical="center"/>
    </xf>
    <xf numFmtId="0" fontId="19" fillId="5" borderId="34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1" fontId="19" fillId="5" borderId="10" xfId="0" applyNumberFormat="1" applyFont="1" applyFill="1" applyBorder="1"/>
    <xf numFmtId="1" fontId="19" fillId="5" borderId="8" xfId="0" applyNumberFormat="1" applyFont="1" applyFill="1" applyBorder="1"/>
    <xf numFmtId="1" fontId="19" fillId="5" borderId="9" xfId="0" applyNumberFormat="1" applyFont="1" applyFill="1" applyBorder="1"/>
    <xf numFmtId="1" fontId="19" fillId="5" borderId="11" xfId="0" applyNumberFormat="1" applyFont="1" applyFill="1" applyBorder="1"/>
    <xf numFmtId="0" fontId="19" fillId="5" borderId="6" xfId="0" applyFont="1" applyFill="1" applyBorder="1" applyAlignment="1">
      <alignment vertical="center"/>
    </xf>
    <xf numFmtId="1" fontId="19" fillId="5" borderId="6" xfId="0" applyNumberFormat="1" applyFont="1" applyFill="1" applyBorder="1" applyAlignment="1">
      <alignment vertical="center"/>
    </xf>
    <xf numFmtId="164" fontId="19" fillId="5" borderId="29" xfId="1" applyFont="1" applyFill="1" applyBorder="1" applyAlignment="1">
      <alignment vertical="center"/>
    </xf>
    <xf numFmtId="1" fontId="20" fillId="5" borderId="4" xfId="0" applyNumberFormat="1" applyFont="1" applyFill="1" applyBorder="1"/>
    <xf numFmtId="1" fontId="20" fillId="5" borderId="5" xfId="0" applyNumberFormat="1" applyFont="1" applyFill="1" applyBorder="1"/>
    <xf numFmtId="1" fontId="20" fillId="5" borderId="13" xfId="0" applyNumberFormat="1" applyFont="1" applyFill="1" applyBorder="1"/>
    <xf numFmtId="1" fontId="20" fillId="5" borderId="16" xfId="0" applyNumberFormat="1" applyFont="1" applyFill="1" applyBorder="1" applyAlignment="1">
      <alignment horizontal="center"/>
    </xf>
    <xf numFmtId="1" fontId="18" fillId="5" borderId="18" xfId="0" applyNumberFormat="1" applyFont="1" applyFill="1" applyBorder="1"/>
    <xf numFmtId="1" fontId="18" fillId="5" borderId="19" xfId="0" applyNumberFormat="1" applyFont="1" applyFill="1" applyBorder="1"/>
    <xf numFmtId="0" fontId="22" fillId="0" borderId="0" xfId="0" applyFont="1"/>
    <xf numFmtId="0" fontId="18" fillId="9" borderId="33" xfId="0" applyFont="1" applyFill="1" applyBorder="1" applyAlignment="1">
      <alignment horizontal="center" vertical="center"/>
    </xf>
    <xf numFmtId="0" fontId="23" fillId="9" borderId="33" xfId="0" applyFont="1" applyFill="1" applyBorder="1" applyAlignment="1">
      <alignment horizontal="center" vertical="center"/>
    </xf>
    <xf numFmtId="0" fontId="8" fillId="9" borderId="33" xfId="0" applyFont="1" applyFill="1" applyBorder="1" applyAlignment="1">
      <alignment horizontal="center" vertical="center"/>
    </xf>
    <xf numFmtId="0" fontId="8" fillId="9" borderId="33" xfId="0" applyFont="1" applyFill="1" applyBorder="1" applyAlignment="1">
      <alignment horizontal="center" vertical="center" wrapText="1"/>
    </xf>
    <xf numFmtId="0" fontId="8" fillId="9" borderId="27" xfId="0" applyFont="1" applyFill="1" applyBorder="1" applyAlignment="1">
      <alignment horizontal="center" vertical="center" wrapText="1"/>
    </xf>
    <xf numFmtId="0" fontId="8" fillId="9" borderId="27" xfId="0" applyFont="1" applyFill="1" applyBorder="1" applyAlignment="1">
      <alignment horizontal="center" vertical="center"/>
    </xf>
    <xf numFmtId="0" fontId="19" fillId="11" borderId="29" xfId="0" applyFont="1" applyFill="1" applyBorder="1" applyAlignment="1">
      <alignment horizontal="center" vertical="center"/>
    </xf>
    <xf numFmtId="0" fontId="24" fillId="12" borderId="33" xfId="0" applyFont="1" applyFill="1" applyBorder="1" applyAlignment="1">
      <alignment horizontal="center" vertical="center"/>
    </xf>
    <xf numFmtId="0" fontId="8" fillId="9" borderId="35" xfId="0" applyFont="1" applyFill="1" applyBorder="1" applyAlignment="1">
      <alignment vertical="center"/>
    </xf>
    <xf numFmtId="0" fontId="8" fillId="9" borderId="37" xfId="0" applyFont="1" applyFill="1" applyBorder="1" applyAlignment="1">
      <alignment vertical="center"/>
    </xf>
    <xf numFmtId="164" fontId="20" fillId="5" borderId="11" xfId="1" applyFont="1" applyFill="1" applyBorder="1"/>
    <xf numFmtId="164" fontId="19" fillId="5" borderId="14" xfId="1" applyFont="1" applyFill="1" applyBorder="1"/>
    <xf numFmtId="164" fontId="26" fillId="5" borderId="2" xfId="1" applyFont="1" applyFill="1" applyBorder="1"/>
    <xf numFmtId="164" fontId="19" fillId="5" borderId="10" xfId="1" applyFont="1" applyFill="1" applyBorder="1"/>
    <xf numFmtId="164" fontId="20" fillId="5" borderId="14" xfId="1" applyFont="1" applyFill="1" applyBorder="1"/>
    <xf numFmtId="14" fontId="0" fillId="0" borderId="0" xfId="0" applyNumberFormat="1"/>
    <xf numFmtId="0" fontId="8" fillId="9" borderId="0" xfId="0" applyFont="1" applyFill="1"/>
    <xf numFmtId="0" fontId="8" fillId="10" borderId="0" xfId="0" applyFont="1" applyFill="1"/>
    <xf numFmtId="0" fontId="24" fillId="14" borderId="0" xfId="0" applyFont="1" applyFill="1" applyAlignment="1">
      <alignment horizontal="center" vertical="center"/>
    </xf>
    <xf numFmtId="0" fontId="19" fillId="15" borderId="2" xfId="0" applyFont="1" applyFill="1" applyBorder="1" applyAlignment="1">
      <alignment horizontal="center" vertical="center" wrapText="1"/>
    </xf>
    <xf numFmtId="0" fontId="8" fillId="9" borderId="40" xfId="0" applyFont="1" applyFill="1" applyBorder="1" applyAlignment="1">
      <alignment horizontal="center" vertical="center"/>
    </xf>
    <xf numFmtId="164" fontId="0" fillId="5" borderId="12" xfId="1" applyFont="1" applyFill="1" applyBorder="1"/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0" fillId="7" borderId="20" xfId="0" applyFill="1" applyBorder="1" applyAlignment="1">
      <alignment horizontal="center"/>
    </xf>
    <xf numFmtId="0" fontId="0" fillId="7" borderId="22" xfId="0" applyFill="1" applyBorder="1" applyAlignment="1">
      <alignment horizontal="center"/>
    </xf>
    <xf numFmtId="0" fontId="0" fillId="7" borderId="23" xfId="0" applyFill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8" fillId="0" borderId="5" xfId="0" applyFont="1" applyBorder="1" applyAlignment="1">
      <alignment horizontal="center"/>
    </xf>
    <xf numFmtId="1" fontId="18" fillId="5" borderId="8" xfId="0" applyNumberFormat="1" applyFont="1" applyFill="1" applyBorder="1" applyAlignment="1">
      <alignment horizontal="left"/>
    </xf>
    <xf numFmtId="1" fontId="18" fillId="5" borderId="9" xfId="0" applyNumberFormat="1" applyFont="1" applyFill="1" applyBorder="1" applyAlignment="1">
      <alignment horizontal="left"/>
    </xf>
    <xf numFmtId="1" fontId="20" fillId="5" borderId="15" xfId="0" applyNumberFormat="1" applyFont="1" applyFill="1" applyBorder="1" applyAlignment="1">
      <alignment horizontal="center"/>
    </xf>
    <xf numFmtId="1" fontId="20" fillId="5" borderId="16" xfId="0" applyNumberFormat="1" applyFont="1" applyFill="1" applyBorder="1" applyAlignment="1">
      <alignment horizontal="center"/>
    </xf>
    <xf numFmtId="0" fontId="18" fillId="5" borderId="30" xfId="0" applyFont="1" applyFill="1" applyBorder="1" applyAlignment="1">
      <alignment horizontal="center" vertical="center"/>
    </xf>
    <xf numFmtId="0" fontId="18" fillId="5" borderId="31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5" fillId="13" borderId="39" xfId="2" applyBorder="1" applyAlignment="1">
      <alignment horizontal="center" vertical="center"/>
    </xf>
    <xf numFmtId="0" fontId="18" fillId="15" borderId="39" xfId="0" applyFont="1" applyFill="1" applyBorder="1" applyAlignment="1">
      <alignment horizontal="center" vertical="center"/>
    </xf>
    <xf numFmtId="0" fontId="18" fillId="15" borderId="0" xfId="0" applyFont="1" applyFill="1" applyAlignment="1">
      <alignment horizontal="center" vertical="center"/>
    </xf>
    <xf numFmtId="1" fontId="20" fillId="5" borderId="17" xfId="0" applyNumberFormat="1" applyFont="1" applyFill="1" applyBorder="1" applyAlignment="1">
      <alignment horizontal="center"/>
    </xf>
    <xf numFmtId="0" fontId="18" fillId="5" borderId="32" xfId="0" applyFont="1" applyFill="1" applyBorder="1" applyAlignment="1">
      <alignment horizontal="center" vertical="center"/>
    </xf>
    <xf numFmtId="0" fontId="19" fillId="5" borderId="38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8" fillId="9" borderId="35" xfId="0" applyFont="1" applyFill="1" applyBorder="1" applyAlignment="1">
      <alignment horizontal="center" vertical="center" wrapText="1"/>
    </xf>
    <xf numFmtId="0" fontId="8" fillId="9" borderId="36" xfId="0" applyFont="1" applyFill="1" applyBorder="1" applyAlignment="1">
      <alignment horizontal="center" vertical="center" wrapText="1"/>
    </xf>
  </cellXfs>
  <cellStyles count="3">
    <cellStyle name="Comma" xfId="1" builtinId="3"/>
    <cellStyle name="Good" xfId="2" builtinId="26"/>
    <cellStyle name="Normal" xfId="0" builtinId="0"/>
  </cellStyles>
  <dxfs count="25">
    <dxf>
      <font>
        <strike val="0"/>
        <outline val="0"/>
        <shadow val="0"/>
        <u val="none"/>
        <vertAlign val="baseline"/>
        <sz val="11"/>
        <color theme="1"/>
        <name val="Candar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  <numFmt numFmtId="166" formatCode="dd/mm/yyyy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Candara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scheme val="none"/>
      </font>
      <alignment horizontal="center" vertical="bottom" textRotation="0" wrapText="0" indent="0" justifyLastLine="0" shrinkToFit="0" readingOrder="0"/>
    </dxf>
    <dxf>
      <numFmt numFmtId="166" formatCode="dd/mm/yyyy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2628900</xdr:colOff>
      <xdr:row>2</xdr:row>
      <xdr:rowOff>38100</xdr:rowOff>
    </xdr:from>
    <xdr:to>
      <xdr:col>10</xdr:col>
      <xdr:colOff>2933700</xdr:colOff>
      <xdr:row>4</xdr:row>
      <xdr:rowOff>47625</xdr:rowOff>
    </xdr:to>
    <xdr:pic>
      <xdr:nvPicPr>
        <xdr:cNvPr id="3" name="Graphique 2" descr="Document avec un remplissage uni">
          <a:extLst>
            <a:ext uri="{FF2B5EF4-FFF2-40B4-BE49-F238E27FC236}">
              <a16:creationId xmlns:a16="http://schemas.microsoft.com/office/drawing/2014/main" id="{25126187-8281-5AF6-E245-16DB4AD36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296650" y="419100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10</xdr:col>
      <xdr:colOff>2578875</xdr:colOff>
      <xdr:row>0</xdr:row>
      <xdr:rowOff>114300</xdr:rowOff>
    </xdr:from>
    <xdr:to>
      <xdr:col>10</xdr:col>
      <xdr:colOff>2893200</xdr:colOff>
      <xdr:row>2</xdr:row>
      <xdr:rowOff>47625</xdr:rowOff>
    </xdr:to>
    <xdr:pic>
      <xdr:nvPicPr>
        <xdr:cNvPr id="5" name="Graphique 4" descr="Argent avec un remplissage uni">
          <a:extLst>
            <a:ext uri="{FF2B5EF4-FFF2-40B4-BE49-F238E27FC236}">
              <a16:creationId xmlns:a16="http://schemas.microsoft.com/office/drawing/2014/main" id="{1ADD3686-97B8-AECC-287F-B357E4DEE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246625" y="114300"/>
          <a:ext cx="314325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476250</xdr:colOff>
      <xdr:row>2</xdr:row>
      <xdr:rowOff>28575</xdr:rowOff>
    </xdr:from>
    <xdr:to>
      <xdr:col>12</xdr:col>
      <xdr:colOff>19050</xdr:colOff>
      <xdr:row>4</xdr:row>
      <xdr:rowOff>38100</xdr:rowOff>
    </xdr:to>
    <xdr:pic>
      <xdr:nvPicPr>
        <xdr:cNvPr id="2" name="Graphique 1" descr="Document avec un remplissage uni">
          <a:extLst>
            <a:ext uri="{FF2B5EF4-FFF2-40B4-BE49-F238E27FC236}">
              <a16:creationId xmlns:a16="http://schemas.microsoft.com/office/drawing/2014/main" id="{1E6221C6-B069-4690-B6FE-CD12ECF73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191500" y="409575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11</xdr:col>
      <xdr:colOff>426225</xdr:colOff>
      <xdr:row>0</xdr:row>
      <xdr:rowOff>104775</xdr:rowOff>
    </xdr:from>
    <xdr:to>
      <xdr:col>11</xdr:col>
      <xdr:colOff>740550</xdr:colOff>
      <xdr:row>2</xdr:row>
      <xdr:rowOff>38100</xdr:rowOff>
    </xdr:to>
    <xdr:pic>
      <xdr:nvPicPr>
        <xdr:cNvPr id="3" name="Graphique 2" descr="Argent avec un remplissage uni">
          <a:extLst>
            <a:ext uri="{FF2B5EF4-FFF2-40B4-BE49-F238E27FC236}">
              <a16:creationId xmlns:a16="http://schemas.microsoft.com/office/drawing/2014/main" id="{ECE1849D-6370-4DB2-A5CF-B6F9A3680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141475" y="104775"/>
          <a:ext cx="314325" cy="3143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ureau\ASSEMBLEE%20GENERALE%202022\3&#233;me%20version%20RF%202019%202020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 19-20-21"/>
      <sheetName val="RF 2022"/>
      <sheetName val="RECETTES 19 20 21"/>
      <sheetName val="RF 2019 2020"/>
      <sheetName val="SOMMES IMPORTANTES ENGAGES"/>
      <sheetName val="RF 2021"/>
      <sheetName val="RECAP"/>
      <sheetName val="DEPENSES 19 20 21"/>
      <sheetName val="Feuil3"/>
    </sheetNames>
    <sheetDataSet>
      <sheetData sheetId="0"/>
      <sheetData sheetId="1"/>
      <sheetData sheetId="2">
        <row r="75">
          <cell r="Q75">
            <v>27235.719999999972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FEE5573-9A01-4AD1-BFB4-502575ABF40A}" name="Table7" displayName="Table7" ref="E4:J81" totalsRowShown="0">
  <autoFilter ref="E4:J81" xr:uid="{EFEE5573-9A01-4AD1-BFB4-502575ABF40A}"/>
  <tableColumns count="6">
    <tableColumn id="1" xr3:uid="{E8783A01-FED2-401F-909C-D3462911B7CA}" name="Date" dataDxfId="12"/>
    <tableColumn id="2" xr3:uid="{353A0F23-8FF6-4312-BBC7-1A273560D913}" name="Année"/>
    <tableColumn id="3" xr3:uid="{7A195784-7D17-434D-BCCA-2075BAC3C368}" name="Mois"/>
    <tableColumn id="4" xr3:uid="{64785E55-6306-42BA-A018-4C67CE0CD045}" name="Mode Paiement"/>
    <tableColumn id="5" xr3:uid="{6DACFAD5-8C1D-40E7-8DFF-7DA3B28ADF45}" name="Banque"/>
    <tableColumn id="6" xr3:uid="{89D07D54-1BC8-4558-8321-51F15A603C5C}" name="Montant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D16153-3A7B-471F-9F15-70D8E88CC7CB}" name="Tableau3" displayName="Tableau3" ref="B6:K68" totalsRowShown="0" headerRowDxfId="24" dataDxfId="23">
  <autoFilter ref="B6:K68" xr:uid="{4BD16153-3A7B-471F-9F15-70D8E88CC7CB}">
    <filterColumn colId="6">
      <filters>
        <filter val="1"/>
      </filters>
    </filterColumn>
  </autoFilter>
  <tableColumns count="10">
    <tableColumn id="1" xr3:uid="{A3763960-D42D-471C-8519-C6B3BA75D315}" name="Recette" dataDxfId="22"/>
    <tableColumn id="2" xr3:uid="{F5B89F60-165A-435A-877B-2892AE86B772}" name="Type de Recette" dataDxfId="21"/>
    <tableColumn id="3" xr3:uid="{CA1379E5-8769-4016-94BC-F43AD1F83E1B}" name="Mode Recette" dataDxfId="20"/>
    <tableColumn id="4" xr3:uid="{7112692C-DA1E-4CBA-BB4E-2001760A0B20}" name="N° Pièce" dataDxfId="19"/>
    <tableColumn id="10" xr3:uid="{026DE838-F1E1-4B57-9939-2382E6AF8594}" name="Banque" dataDxfId="18"/>
    <tableColumn id="5" xr3:uid="{4365A772-951B-4FA8-BF10-FE88763F9811}" name="Date" dataDxfId="17"/>
    <tableColumn id="9" xr3:uid="{74D461B8-97AA-4C78-9DC4-530092FE0102}" name="Mois" dataDxfId="16"/>
    <tableColumn id="7" xr3:uid="{D362B261-106D-4692-BF09-97B01D018C48}" name="Année" dataDxfId="15">
      <calculatedColumnFormula>YEAR(Tableau3[[#This Row],[Date]])</calculatedColumnFormula>
    </tableColumn>
    <tableColumn id="6" xr3:uid="{2EF086EA-A38F-4FC8-B3EE-53998806D7B8}" name="Montant" dataDxfId="14"/>
    <tableColumn id="8" xr3:uid="{2CD9E7E8-5A95-4E83-A4C6-C480A37CA68A}" name="Remarques" dataDxfId="13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80094B-43C3-4DA9-82F4-B5C3B5F7FD79}" name="Tableau36" displayName="Tableau36" ref="B6:K336" totalsRowShown="0" headerRowDxfId="11" dataDxfId="10">
  <autoFilter ref="B6:K336" xr:uid="{F880094B-43C3-4DA9-82F4-B5C3B5F7FD79}">
    <filterColumn colId="4">
      <filters>
        <filter val="TGR"/>
      </filters>
    </filterColumn>
  </autoFilter>
  <tableColumns count="10">
    <tableColumn id="1" xr3:uid="{71C32649-804F-4133-9DCB-F3B52452DF11}" name="Type de Pièce" dataDxfId="9"/>
    <tableColumn id="2" xr3:uid="{95755F41-0334-4C61-AC4C-F2660231AFE5}" name="Catégorie" dataDxfId="8"/>
    <tableColumn id="8" xr3:uid="{589422D1-5450-49C9-8814-AC419293F4D9}" name="Description Dépense" dataDxfId="7"/>
    <tableColumn id="3" xr3:uid="{8325EC6D-4727-489C-AFFB-E0AFC3F0C5F9}" name="Mode Paiement" dataDxfId="6"/>
    <tableColumn id="10" xr3:uid="{2F770F04-C6B7-434D-AC29-CB319E336169}" name="Banque" dataDxfId="5"/>
    <tableColumn id="4" xr3:uid="{896E4994-788A-459F-B42D-26ADC43531C4}" name="N° Pièce" dataDxfId="4"/>
    <tableColumn id="5" xr3:uid="{6959932E-0C83-4AF4-9246-78DAF2F972BD}" name="Date" dataDxfId="3"/>
    <tableColumn id="9" xr3:uid="{71CF9240-4436-4F4A-B966-4A0E97F7ECC9}" name="Mois" dataDxfId="2">
      <calculatedColumnFormula>MONTH(H7)</calculatedColumnFormula>
    </tableColumn>
    <tableColumn id="7" xr3:uid="{B87573C8-D254-4DD0-95ED-72135CDB2D2A}" name="Année" dataDxfId="1">
      <calculatedColumnFormula>YEAR(Tableau36[[#This Row],[Date]])</calculatedColumnFormula>
    </tableColumn>
    <tableColumn id="6" xr3:uid="{26FA5DD5-CF13-41B9-BA68-B630B8240EFA}" name="Montant" dataDxfId="0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5AD1AA-A647-4BD3-9959-F45110FBF46D}" name="Tableau1" displayName="Tableau1" ref="A1:A6" totalsRowShown="0">
  <autoFilter ref="A1:A6" xr:uid="{605AD1AA-A647-4BD3-9959-F45110FBF46D}"/>
  <tableColumns count="1">
    <tableColumn id="1" xr3:uid="{0B7F2AFA-303A-44EF-8686-9313E28B312C}" name="Type de Recett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C856CB-58B8-48FD-9E82-A696DF35FC3F}" name="Tableau2" displayName="Tableau2" ref="C1:C6" totalsRowShown="0">
  <autoFilter ref="C1:C6" xr:uid="{9FC856CB-58B8-48FD-9E82-A696DF35FC3F}"/>
  <tableColumns count="1">
    <tableColumn id="1" xr3:uid="{659734FA-3835-4D95-9F35-5C1B7B5F04DA}" name="Mode Recette"/>
  </tableColumns>
  <tableStyleInfo name="TableStyleMedium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95F4E49-1FE5-450C-8D8D-F2EB996756D5}" name="Tableau4" displayName="Tableau4" ref="F1:F3" totalsRowShown="0">
  <autoFilter ref="F1:F3" xr:uid="{495F4E49-1FE5-450C-8D8D-F2EB996756D5}"/>
  <tableColumns count="1">
    <tableColumn id="1" xr3:uid="{0007CCF5-16A2-4BA8-B2D6-57122F7F9750}" name="Année"/>
  </tableColumns>
  <tableStyleInfo name="TableStyleMedium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BF434CA-6429-4CBE-80F8-0D4411023E09}" name="JrnTypes" displayName="JrnTypes" ref="H1:H7" totalsRowShown="0">
  <autoFilter ref="H1:H7" xr:uid="{8BF434CA-6429-4CBE-80F8-0D4411023E09}"/>
  <tableColumns count="1">
    <tableColumn id="1" xr3:uid="{936D04B0-66FA-4A2A-A49A-BE061765E90D}" name="Journal Types"/>
  </tableColumns>
  <tableStyleInfo name="TableStyleMedium1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06CB3CF-1031-4512-AB1D-D9F112256DF8}" name="JrnCat" displayName="JrnCat" ref="J1:O5" totalsRowShown="0">
  <autoFilter ref="J1:O5" xr:uid="{706CB3CF-1031-4512-AB1D-D9F112256DF8}"/>
  <tableColumns count="6">
    <tableColumn id="1" xr3:uid="{26D43F67-3F4C-4EFD-8A43-B9FC264F5D44}" name="Paie &amp; Primes &amp; CNSS"/>
    <tableColumn id="2" xr3:uid="{0D37F8A7-8912-4F65-9D78-06C068E0B79C}" name="Téléphonie &amp; Electricité"/>
    <tableColumn id="3" xr3:uid="{C2BD8A4D-51A7-4E60-B5C5-D2D02E1797E5}" name="Dépenses Courantes"/>
    <tableColumn id="4" xr3:uid="{63C0A698-CE62-4190-AE66-60CDEEF29970}" name="Transfert"/>
    <tableColumn id="5" xr3:uid="{FAA94F66-8B46-424C-95B3-1BE56DC02339}" name="Travaux"/>
    <tableColumn id="6" xr3:uid="{F4CF68BC-7544-4F60-9DEC-9C143709F960}" name="Entretien Espaces Verts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1527D-D86A-45D6-B7E6-4E6C41B10B62}">
  <sheetPr codeName="Feuil1">
    <tabColor rgb="FFFF0000"/>
  </sheetPr>
  <dimension ref="A1:Q169"/>
  <sheetViews>
    <sheetView showGridLines="0" workbookViewId="0">
      <pane ySplit="3" topLeftCell="A138" activePane="bottomLeft" state="frozenSplit"/>
      <selection pane="bottomLeft" activeCell="A153" sqref="A153:G155"/>
    </sheetView>
  </sheetViews>
  <sheetFormatPr defaultColWidth="11.42578125" defaultRowHeight="15" x14ac:dyDescent="0.25"/>
  <cols>
    <col min="1" max="1" width="4.42578125" customWidth="1"/>
    <col min="2" max="2" width="21.140625" customWidth="1"/>
    <col min="3" max="3" width="10.85546875" customWidth="1"/>
    <col min="4" max="4" width="12.28515625" customWidth="1"/>
    <col min="5" max="5" width="11.85546875" bestFit="1" customWidth="1"/>
    <col min="6" max="14" width="9.85546875" customWidth="1"/>
    <col min="15" max="15" width="8.85546875" customWidth="1"/>
    <col min="17" max="17" width="37.140625" customWidth="1"/>
  </cols>
  <sheetData>
    <row r="1" spans="1:17" x14ac:dyDescent="0.25">
      <c r="C1" s="6"/>
      <c r="D1" t="s">
        <v>127</v>
      </c>
    </row>
    <row r="2" spans="1:17" x14ac:dyDescent="0.25">
      <c r="C2" s="24"/>
      <c r="D2" t="s">
        <v>128</v>
      </c>
    </row>
    <row r="3" spans="1:17" x14ac:dyDescent="0.25">
      <c r="C3" s="25"/>
      <c r="D3" t="s">
        <v>132</v>
      </c>
    </row>
    <row r="4" spans="1:17" ht="15.75" x14ac:dyDescent="0.25">
      <c r="A4" s="1"/>
      <c r="B4" s="1"/>
      <c r="C4" s="1"/>
      <c r="D4" s="1"/>
      <c r="E4" s="1"/>
      <c r="F4" s="2" t="s">
        <v>0</v>
      </c>
      <c r="G4" s="1"/>
      <c r="H4" s="1"/>
      <c r="I4" s="1"/>
      <c r="J4" s="1"/>
      <c r="K4" s="1"/>
      <c r="L4" s="1"/>
      <c r="M4" s="1"/>
      <c r="N4" s="1"/>
      <c r="O4" s="1"/>
    </row>
    <row r="5" spans="1:17" ht="15.75" x14ac:dyDescent="0.25">
      <c r="A5" s="1"/>
      <c r="B5" s="1"/>
      <c r="C5" s="1"/>
      <c r="D5" s="1"/>
      <c r="E5" s="1"/>
      <c r="F5" s="2"/>
      <c r="G5" s="1"/>
      <c r="H5" s="1"/>
      <c r="I5" s="1"/>
      <c r="J5" s="1"/>
      <c r="K5" s="1"/>
      <c r="L5" s="1"/>
      <c r="M5" s="3" t="s">
        <v>1</v>
      </c>
      <c r="N5" s="4">
        <v>1</v>
      </c>
      <c r="O5" s="4"/>
    </row>
    <row r="6" spans="1:1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3" t="s">
        <v>2</v>
      </c>
      <c r="N6" s="4">
        <v>2022</v>
      </c>
      <c r="O6" s="4"/>
    </row>
    <row r="7" spans="1:17" x14ac:dyDescent="0.25">
      <c r="A7" s="5" t="s">
        <v>3</v>
      </c>
      <c r="B7" s="5" t="s">
        <v>4</v>
      </c>
      <c r="C7" s="5" t="s">
        <v>5</v>
      </c>
      <c r="D7" s="5" t="s">
        <v>6</v>
      </c>
      <c r="E7" s="5" t="s">
        <v>7</v>
      </c>
      <c r="F7" s="5" t="s">
        <v>8</v>
      </c>
      <c r="G7" s="5" t="s">
        <v>9</v>
      </c>
      <c r="H7" s="5" t="s">
        <v>10</v>
      </c>
      <c r="I7" s="5" t="s">
        <v>11</v>
      </c>
      <c r="J7" s="5" t="s">
        <v>12</v>
      </c>
      <c r="K7" s="5" t="s">
        <v>13</v>
      </c>
      <c r="L7" s="5" t="s">
        <v>14</v>
      </c>
      <c r="M7" s="5" t="s">
        <v>15</v>
      </c>
      <c r="N7" s="5" t="s">
        <v>16</v>
      </c>
      <c r="O7" s="5" t="s">
        <v>170</v>
      </c>
      <c r="P7" s="17" t="s">
        <v>169</v>
      </c>
      <c r="Q7" s="5" t="s">
        <v>171</v>
      </c>
    </row>
    <row r="8" spans="1:17" x14ac:dyDescent="0.25">
      <c r="A8" s="6">
        <v>1</v>
      </c>
      <c r="B8" s="6" t="s">
        <v>17</v>
      </c>
      <c r="C8" s="31" t="s">
        <v>187</v>
      </c>
      <c r="D8" s="6">
        <v>260</v>
      </c>
      <c r="E8" s="6">
        <v>260</v>
      </c>
      <c r="F8" s="31" t="s">
        <v>187</v>
      </c>
      <c r="G8" s="6">
        <v>390</v>
      </c>
      <c r="H8" s="31" t="s">
        <v>187</v>
      </c>
      <c r="I8" s="6">
        <v>390</v>
      </c>
      <c r="J8" s="95" t="s">
        <v>187</v>
      </c>
      <c r="K8" s="97"/>
      <c r="L8" s="31" t="s">
        <v>187</v>
      </c>
      <c r="M8" s="6">
        <v>260</v>
      </c>
      <c r="N8" s="16">
        <v>260</v>
      </c>
      <c r="O8" s="23"/>
      <c r="P8" s="18">
        <f>SUM(C8:O8)</f>
        <v>1820</v>
      </c>
      <c r="Q8" s="6"/>
    </row>
    <row r="9" spans="1:17" x14ac:dyDescent="0.25">
      <c r="A9" s="6">
        <v>2</v>
      </c>
      <c r="B9" s="6" t="s">
        <v>18</v>
      </c>
      <c r="C9" s="95" t="s">
        <v>187</v>
      </c>
      <c r="D9" s="97"/>
      <c r="E9" s="6">
        <v>560</v>
      </c>
      <c r="F9" s="6">
        <v>140</v>
      </c>
      <c r="G9" s="31" t="s">
        <v>187</v>
      </c>
      <c r="H9" s="31" t="s">
        <v>187</v>
      </c>
      <c r="I9" s="6">
        <v>280</v>
      </c>
      <c r="J9" s="95" t="s">
        <v>187</v>
      </c>
      <c r="K9" s="97"/>
      <c r="L9" s="6">
        <v>280</v>
      </c>
      <c r="M9" s="31" t="s">
        <v>187</v>
      </c>
      <c r="N9" s="16">
        <v>420</v>
      </c>
      <c r="O9" s="23"/>
      <c r="P9" s="18">
        <f t="shared" ref="P9:P27" si="0">SUM(C9:O9)</f>
        <v>1680</v>
      </c>
      <c r="Q9" s="6"/>
    </row>
    <row r="10" spans="1:17" x14ac:dyDescent="0.25">
      <c r="A10" s="6">
        <v>3</v>
      </c>
      <c r="B10" s="6" t="s">
        <v>19</v>
      </c>
      <c r="C10" s="95" t="s">
        <v>187</v>
      </c>
      <c r="D10" s="96"/>
      <c r="E10" s="96"/>
      <c r="F10" s="96"/>
      <c r="G10" s="96"/>
      <c r="H10" s="97"/>
      <c r="I10" s="6">
        <v>2000</v>
      </c>
      <c r="J10" s="95" t="s">
        <v>187</v>
      </c>
      <c r="K10" s="96"/>
      <c r="L10" s="96"/>
      <c r="M10" s="96"/>
      <c r="N10" s="97"/>
      <c r="O10" s="23"/>
      <c r="P10" s="18">
        <f t="shared" si="0"/>
        <v>2000</v>
      </c>
      <c r="Q10" s="6"/>
    </row>
    <row r="11" spans="1:17" x14ac:dyDescent="0.25">
      <c r="A11" s="6">
        <v>4</v>
      </c>
      <c r="B11" s="6" t="s">
        <v>250</v>
      </c>
      <c r="C11" s="31" t="s">
        <v>187</v>
      </c>
      <c r="D11" s="6">
        <v>140</v>
      </c>
      <c r="E11" s="6">
        <v>140</v>
      </c>
      <c r="F11" s="6">
        <v>140</v>
      </c>
      <c r="G11" s="6">
        <v>140</v>
      </c>
      <c r="H11" s="6">
        <v>140</v>
      </c>
      <c r="I11" s="6">
        <v>140</v>
      </c>
      <c r="J11" s="6">
        <v>140</v>
      </c>
      <c r="K11" s="6">
        <v>140</v>
      </c>
      <c r="L11" s="6">
        <v>280</v>
      </c>
      <c r="M11" s="31" t="s">
        <v>187</v>
      </c>
      <c r="N11" s="16">
        <v>280</v>
      </c>
      <c r="O11" s="23"/>
      <c r="P11" s="18">
        <f t="shared" si="0"/>
        <v>1680</v>
      </c>
      <c r="Q11" s="6"/>
    </row>
    <row r="12" spans="1:17" x14ac:dyDescent="0.25">
      <c r="A12" s="6">
        <v>5</v>
      </c>
      <c r="B12" s="6" t="s">
        <v>20</v>
      </c>
      <c r="C12" s="31" t="s">
        <v>187</v>
      </c>
      <c r="D12" s="31" t="s">
        <v>187</v>
      </c>
      <c r="E12" s="6">
        <v>280</v>
      </c>
      <c r="F12" s="6">
        <v>280</v>
      </c>
      <c r="G12" s="6">
        <v>140</v>
      </c>
      <c r="H12" s="6">
        <v>280</v>
      </c>
      <c r="I12" s="6">
        <v>140</v>
      </c>
      <c r="J12" s="6">
        <v>140</v>
      </c>
      <c r="K12" s="6">
        <v>140</v>
      </c>
      <c r="L12" s="6">
        <v>280</v>
      </c>
      <c r="M12" s="6">
        <v>140</v>
      </c>
      <c r="N12" s="16">
        <v>280</v>
      </c>
      <c r="O12" s="23"/>
      <c r="P12" s="18">
        <f t="shared" si="0"/>
        <v>2100</v>
      </c>
      <c r="Q12" s="6"/>
    </row>
    <row r="13" spans="1:17" x14ac:dyDescent="0.25">
      <c r="A13" s="6">
        <v>6</v>
      </c>
      <c r="B13" s="6" t="s">
        <v>21</v>
      </c>
      <c r="C13" s="95" t="s">
        <v>187</v>
      </c>
      <c r="D13" s="96"/>
      <c r="E13" s="96"/>
      <c r="F13" s="96"/>
      <c r="G13" s="96"/>
      <c r="H13" s="96"/>
      <c r="I13" s="96"/>
      <c r="J13" s="96"/>
      <c r="K13" s="96"/>
      <c r="L13" s="97"/>
      <c r="M13" s="6">
        <v>1680</v>
      </c>
      <c r="N13" s="31" t="s">
        <v>187</v>
      </c>
      <c r="O13" s="23"/>
      <c r="P13" s="18">
        <f t="shared" si="0"/>
        <v>1680</v>
      </c>
      <c r="Q13" s="6"/>
    </row>
    <row r="14" spans="1:17" x14ac:dyDescent="0.25">
      <c r="A14" s="6">
        <v>7</v>
      </c>
      <c r="B14" s="6" t="s">
        <v>22</v>
      </c>
      <c r="C14" s="6">
        <v>130</v>
      </c>
      <c r="D14" s="6">
        <v>130</v>
      </c>
      <c r="E14" s="6">
        <v>130</v>
      </c>
      <c r="F14" s="31" t="s">
        <v>187</v>
      </c>
      <c r="G14" s="6">
        <v>260</v>
      </c>
      <c r="H14" s="6">
        <v>130</v>
      </c>
      <c r="I14" s="6">
        <v>130</v>
      </c>
      <c r="J14" s="31" t="s">
        <v>187</v>
      </c>
      <c r="K14" s="6">
        <v>260</v>
      </c>
      <c r="L14" s="6">
        <v>130</v>
      </c>
      <c r="M14" s="6">
        <v>130</v>
      </c>
      <c r="N14" s="31" t="s">
        <v>187</v>
      </c>
      <c r="O14" s="23"/>
      <c r="P14" s="18">
        <f t="shared" si="0"/>
        <v>1430</v>
      </c>
      <c r="Q14" s="6"/>
    </row>
    <row r="15" spans="1:17" x14ac:dyDescent="0.25">
      <c r="A15" s="6">
        <v>8</v>
      </c>
      <c r="B15" s="6" t="s">
        <v>23</v>
      </c>
      <c r="C15" s="6">
        <v>140</v>
      </c>
      <c r="D15" s="95" t="s">
        <v>187</v>
      </c>
      <c r="E15" s="97"/>
      <c r="F15" s="6">
        <v>280</v>
      </c>
      <c r="G15" s="6">
        <v>140</v>
      </c>
      <c r="H15" s="6">
        <v>140</v>
      </c>
      <c r="I15" s="31" t="s">
        <v>187</v>
      </c>
      <c r="J15" s="6">
        <v>140</v>
      </c>
      <c r="K15" s="6">
        <v>280</v>
      </c>
      <c r="L15" s="6">
        <v>140</v>
      </c>
      <c r="M15" s="6">
        <v>140</v>
      </c>
      <c r="N15" s="6">
        <v>140</v>
      </c>
      <c r="O15" s="23"/>
      <c r="P15" s="18">
        <f t="shared" si="0"/>
        <v>1540</v>
      </c>
      <c r="Q15" s="6"/>
    </row>
    <row r="16" spans="1:17" x14ac:dyDescent="0.25">
      <c r="A16" s="6">
        <v>9</v>
      </c>
      <c r="B16" s="6" t="s">
        <v>24</v>
      </c>
      <c r="C16" s="6">
        <v>140</v>
      </c>
      <c r="D16" s="31" t="s">
        <v>187</v>
      </c>
      <c r="E16" s="6">
        <v>280</v>
      </c>
      <c r="F16" s="6">
        <v>140</v>
      </c>
      <c r="G16" s="6">
        <v>140</v>
      </c>
      <c r="H16" s="95" t="s">
        <v>187</v>
      </c>
      <c r="I16" s="97"/>
      <c r="J16" s="6">
        <v>280</v>
      </c>
      <c r="K16" s="6">
        <v>140</v>
      </c>
      <c r="L16" s="6">
        <v>140</v>
      </c>
      <c r="M16" s="95" t="s">
        <v>187</v>
      </c>
      <c r="N16" s="97"/>
      <c r="O16" s="23"/>
      <c r="P16" s="18">
        <f t="shared" si="0"/>
        <v>1260</v>
      </c>
      <c r="Q16" s="6"/>
    </row>
    <row r="17" spans="1:17" x14ac:dyDescent="0.25">
      <c r="A17" s="6">
        <v>10</v>
      </c>
      <c r="B17" s="6" t="s">
        <v>25</v>
      </c>
      <c r="C17" s="31" t="s">
        <v>187</v>
      </c>
      <c r="D17" s="6">
        <v>140</v>
      </c>
      <c r="E17" s="6">
        <v>280</v>
      </c>
      <c r="F17" s="31" t="s">
        <v>187</v>
      </c>
      <c r="G17" s="6">
        <v>140</v>
      </c>
      <c r="H17" s="31" t="s">
        <v>187</v>
      </c>
      <c r="I17" s="6">
        <v>280</v>
      </c>
      <c r="J17" s="6">
        <v>140</v>
      </c>
      <c r="K17" s="6">
        <v>140</v>
      </c>
      <c r="L17" s="6">
        <v>140</v>
      </c>
      <c r="M17" s="6">
        <v>140</v>
      </c>
      <c r="N17" s="16">
        <v>140</v>
      </c>
      <c r="O17" s="23"/>
      <c r="P17" s="18">
        <f t="shared" si="0"/>
        <v>1540</v>
      </c>
      <c r="Q17" s="6"/>
    </row>
    <row r="18" spans="1:17" x14ac:dyDescent="0.25">
      <c r="A18" s="6">
        <v>11</v>
      </c>
      <c r="B18" s="6" t="s">
        <v>26</v>
      </c>
      <c r="C18" s="95" t="s">
        <v>187</v>
      </c>
      <c r="D18" s="96"/>
      <c r="E18" s="96"/>
      <c r="F18" s="96"/>
      <c r="G18" s="97"/>
      <c r="H18" s="6">
        <v>780</v>
      </c>
      <c r="I18" s="95" t="s">
        <v>187</v>
      </c>
      <c r="J18" s="96"/>
      <c r="K18" s="96"/>
      <c r="L18" s="97"/>
      <c r="M18" s="16">
        <v>1430</v>
      </c>
      <c r="N18" s="31" t="s">
        <v>187</v>
      </c>
      <c r="O18" s="23"/>
      <c r="P18" s="18">
        <f t="shared" si="0"/>
        <v>2210</v>
      </c>
      <c r="Q18" s="6" t="s">
        <v>251</v>
      </c>
    </row>
    <row r="19" spans="1:17" x14ac:dyDescent="0.25">
      <c r="A19" s="6">
        <v>12</v>
      </c>
      <c r="B19" s="6" t="s">
        <v>27</v>
      </c>
      <c r="C19" s="95" t="s">
        <v>187</v>
      </c>
      <c r="D19" s="96"/>
      <c r="E19" s="97"/>
      <c r="F19" s="6">
        <v>840</v>
      </c>
      <c r="G19" s="95" t="s">
        <v>187</v>
      </c>
      <c r="H19" s="97"/>
      <c r="I19" s="95" t="s">
        <v>187</v>
      </c>
      <c r="J19" s="97"/>
      <c r="K19" s="6">
        <v>840</v>
      </c>
      <c r="L19" s="95" t="s">
        <v>187</v>
      </c>
      <c r="M19" s="96"/>
      <c r="N19" s="97"/>
      <c r="O19" s="23"/>
      <c r="P19" s="18">
        <f t="shared" si="0"/>
        <v>1680</v>
      </c>
      <c r="Q19" s="6"/>
    </row>
    <row r="20" spans="1:17" x14ac:dyDescent="0.25">
      <c r="A20" s="6">
        <v>13</v>
      </c>
      <c r="B20" s="6" t="s">
        <v>28</v>
      </c>
      <c r="C20" s="6">
        <v>280</v>
      </c>
      <c r="D20" s="31" t="s">
        <v>187</v>
      </c>
      <c r="E20" s="6">
        <v>280</v>
      </c>
      <c r="F20" s="6">
        <v>280</v>
      </c>
      <c r="G20" s="31" t="s">
        <v>187</v>
      </c>
      <c r="H20" s="6">
        <v>280</v>
      </c>
      <c r="I20" s="95" t="s">
        <v>187</v>
      </c>
      <c r="J20" s="97"/>
      <c r="K20" s="6">
        <v>140</v>
      </c>
      <c r="L20" s="6">
        <v>280</v>
      </c>
      <c r="M20" s="31" t="s">
        <v>187</v>
      </c>
      <c r="N20" s="6">
        <v>280</v>
      </c>
      <c r="O20" s="6"/>
      <c r="P20" s="18">
        <f t="shared" si="0"/>
        <v>1820</v>
      </c>
      <c r="Q20" s="6"/>
    </row>
    <row r="21" spans="1:17" x14ac:dyDescent="0.25">
      <c r="A21" s="6">
        <v>14</v>
      </c>
      <c r="B21" s="6" t="s">
        <v>434</v>
      </c>
      <c r="C21" s="95" t="s">
        <v>187</v>
      </c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7"/>
      <c r="O21" s="23"/>
      <c r="P21" s="18">
        <f t="shared" si="0"/>
        <v>0</v>
      </c>
      <c r="Q21" s="6"/>
    </row>
    <row r="22" spans="1:17" x14ac:dyDescent="0.25">
      <c r="A22" s="6">
        <v>15</v>
      </c>
      <c r="B22" s="6" t="s">
        <v>29</v>
      </c>
      <c r="C22" s="31" t="s">
        <v>187</v>
      </c>
      <c r="D22" s="31">
        <v>130</v>
      </c>
      <c r="E22" s="6">
        <v>130</v>
      </c>
      <c r="F22" s="6">
        <v>130</v>
      </c>
      <c r="G22" s="6">
        <v>130</v>
      </c>
      <c r="H22" s="6">
        <v>130</v>
      </c>
      <c r="I22" s="6">
        <v>130</v>
      </c>
      <c r="J22" s="6">
        <v>130</v>
      </c>
      <c r="K22" s="6">
        <v>130</v>
      </c>
      <c r="L22" s="6">
        <v>260</v>
      </c>
      <c r="M22" s="31" t="s">
        <v>187</v>
      </c>
      <c r="N22" s="6">
        <v>130</v>
      </c>
      <c r="O22" s="23"/>
      <c r="P22" s="18">
        <f t="shared" si="0"/>
        <v>1430</v>
      </c>
      <c r="Q22" s="6"/>
    </row>
    <row r="23" spans="1:17" x14ac:dyDescent="0.25">
      <c r="A23" s="6">
        <v>16</v>
      </c>
      <c r="B23" s="6" t="s">
        <v>30</v>
      </c>
      <c r="C23" s="6">
        <v>140</v>
      </c>
      <c r="D23" s="6">
        <v>140</v>
      </c>
      <c r="E23" s="6">
        <v>140</v>
      </c>
      <c r="F23" s="6">
        <v>140</v>
      </c>
      <c r="G23" s="6">
        <v>140</v>
      </c>
      <c r="H23" s="6">
        <v>140</v>
      </c>
      <c r="I23" s="6">
        <v>140</v>
      </c>
      <c r="J23" s="6">
        <v>140</v>
      </c>
      <c r="K23" s="6">
        <v>140</v>
      </c>
      <c r="L23" s="6">
        <v>140</v>
      </c>
      <c r="M23" s="6">
        <v>140</v>
      </c>
      <c r="N23" s="16">
        <v>280</v>
      </c>
      <c r="O23" s="23"/>
      <c r="P23" s="18">
        <f t="shared" si="0"/>
        <v>1820</v>
      </c>
      <c r="Q23" s="6"/>
    </row>
    <row r="24" spans="1:17" x14ac:dyDescent="0.25">
      <c r="A24" s="6">
        <v>17</v>
      </c>
      <c r="B24" s="6" t="s">
        <v>31</v>
      </c>
      <c r="C24" s="6">
        <v>140</v>
      </c>
      <c r="D24" s="6">
        <v>140</v>
      </c>
      <c r="E24" s="6">
        <v>140</v>
      </c>
      <c r="F24" s="6">
        <v>140</v>
      </c>
      <c r="G24" s="6">
        <v>140</v>
      </c>
      <c r="H24" s="6">
        <v>140</v>
      </c>
      <c r="I24" s="6">
        <v>140</v>
      </c>
      <c r="J24" s="6">
        <v>140</v>
      </c>
      <c r="K24" s="6">
        <v>140</v>
      </c>
      <c r="L24" s="6">
        <v>140</v>
      </c>
      <c r="M24" s="6">
        <v>140</v>
      </c>
      <c r="N24" s="16">
        <v>140</v>
      </c>
      <c r="O24" s="23"/>
      <c r="P24" s="18">
        <f t="shared" si="0"/>
        <v>1680</v>
      </c>
      <c r="Q24" s="6"/>
    </row>
    <row r="25" spans="1:17" x14ac:dyDescent="0.25">
      <c r="A25" s="6">
        <v>18</v>
      </c>
      <c r="B25" s="6" t="s">
        <v>32</v>
      </c>
      <c r="C25" s="24" t="s">
        <v>187</v>
      </c>
      <c r="D25" s="24"/>
      <c r="E25" s="24"/>
      <c r="F25" s="24"/>
      <c r="G25" s="24"/>
      <c r="H25" s="24">
        <v>1680</v>
      </c>
      <c r="I25" s="24" t="s">
        <v>187</v>
      </c>
      <c r="J25" s="24"/>
      <c r="K25" s="24"/>
      <c r="L25" s="24"/>
      <c r="M25" s="24"/>
      <c r="N25" s="24"/>
      <c r="O25" s="23"/>
      <c r="P25" s="18">
        <f t="shared" si="0"/>
        <v>1680</v>
      </c>
      <c r="Q25" s="6"/>
    </row>
    <row r="26" spans="1:17" x14ac:dyDescent="0.25">
      <c r="A26" s="6">
        <v>19</v>
      </c>
      <c r="B26" s="6" t="s">
        <v>33</v>
      </c>
      <c r="C26" s="6">
        <v>520</v>
      </c>
      <c r="D26" s="95" t="s">
        <v>187</v>
      </c>
      <c r="E26" s="96"/>
      <c r="F26" s="96"/>
      <c r="G26" s="96"/>
      <c r="H26" s="96"/>
      <c r="I26" s="96"/>
      <c r="J26" s="97"/>
      <c r="K26" s="6">
        <v>130</v>
      </c>
      <c r="L26" s="6">
        <v>910</v>
      </c>
      <c r="M26" s="95" t="s">
        <v>187</v>
      </c>
      <c r="N26" s="97"/>
      <c r="O26" s="23"/>
      <c r="P26" s="18">
        <f t="shared" si="0"/>
        <v>1560</v>
      </c>
      <c r="Q26" s="6"/>
    </row>
    <row r="27" spans="1:17" x14ac:dyDescent="0.25">
      <c r="A27" s="6">
        <v>20</v>
      </c>
      <c r="B27" s="6" t="s">
        <v>34</v>
      </c>
      <c r="C27" s="6">
        <v>560</v>
      </c>
      <c r="D27" s="95" t="s">
        <v>187</v>
      </c>
      <c r="E27" s="96"/>
      <c r="F27" s="96"/>
      <c r="G27" s="97"/>
      <c r="H27" s="6">
        <v>840</v>
      </c>
      <c r="I27" s="95" t="s">
        <v>187</v>
      </c>
      <c r="J27" s="96"/>
      <c r="K27" s="96"/>
      <c r="L27" s="96"/>
      <c r="M27" s="97"/>
      <c r="N27" s="16">
        <v>840</v>
      </c>
      <c r="O27" s="23"/>
      <c r="P27" s="18">
        <f t="shared" si="0"/>
        <v>2240</v>
      </c>
      <c r="Q27" s="6"/>
    </row>
    <row r="28" spans="1:17" ht="15.75" thickBot="1" x14ac:dyDescent="0.3">
      <c r="A28" s="105" t="s">
        <v>169</v>
      </c>
      <c r="B28" s="106"/>
      <c r="C28" s="20">
        <f>SUM(C8:C27)</f>
        <v>2050</v>
      </c>
      <c r="D28" s="20">
        <f t="shared" ref="D28:O28" si="1">SUM(D8:D27)</f>
        <v>1080</v>
      </c>
      <c r="E28" s="20">
        <f t="shared" si="1"/>
        <v>2620</v>
      </c>
      <c r="F28" s="20">
        <f t="shared" si="1"/>
        <v>2510</v>
      </c>
      <c r="G28" s="20">
        <f t="shared" si="1"/>
        <v>1760</v>
      </c>
      <c r="H28" s="20">
        <f t="shared" si="1"/>
        <v>4680</v>
      </c>
      <c r="I28" s="20">
        <f t="shared" si="1"/>
        <v>3770</v>
      </c>
      <c r="J28" s="20">
        <f t="shared" si="1"/>
        <v>1250</v>
      </c>
      <c r="K28" s="20">
        <f t="shared" si="1"/>
        <v>2620</v>
      </c>
      <c r="L28" s="20">
        <f t="shared" si="1"/>
        <v>3120</v>
      </c>
      <c r="M28" s="20">
        <f t="shared" si="1"/>
        <v>4200</v>
      </c>
      <c r="N28" s="20">
        <f t="shared" si="1"/>
        <v>3190</v>
      </c>
      <c r="O28" s="20">
        <f t="shared" si="1"/>
        <v>0</v>
      </c>
      <c r="P28" s="19">
        <f>SUM(P8:P27)</f>
        <v>32850</v>
      </c>
    </row>
    <row r="29" spans="1:17" ht="15.75" thickTop="1" x14ac:dyDescent="0.25"/>
    <row r="30" spans="1:17" ht="15.75" x14ac:dyDescent="0.25">
      <c r="A30" s="1"/>
      <c r="B30" s="1"/>
      <c r="C30" s="1"/>
      <c r="D30" s="1"/>
      <c r="E30" s="1"/>
      <c r="F30" s="2" t="s">
        <v>0</v>
      </c>
      <c r="G30" s="1"/>
      <c r="H30" s="1"/>
      <c r="I30" s="1"/>
      <c r="J30" s="1"/>
      <c r="K30" s="1"/>
      <c r="L30" s="1"/>
      <c r="M30" s="1"/>
      <c r="N30" s="1"/>
      <c r="O30" s="1"/>
    </row>
    <row r="31" spans="1:17" ht="15.75" x14ac:dyDescent="0.25">
      <c r="A31" s="1"/>
      <c r="B31" s="1"/>
      <c r="C31" s="1"/>
      <c r="D31" s="1"/>
      <c r="E31" s="1"/>
      <c r="F31" s="2"/>
      <c r="G31" s="1"/>
      <c r="H31" s="1"/>
      <c r="I31" s="1"/>
      <c r="J31" s="1"/>
      <c r="K31" s="1"/>
      <c r="L31" s="1"/>
      <c r="M31" s="3" t="s">
        <v>1</v>
      </c>
      <c r="N31" s="4">
        <v>2</v>
      </c>
      <c r="O31" s="4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" t="s">
        <v>2</v>
      </c>
      <c r="N32" s="4">
        <v>2022</v>
      </c>
      <c r="O32" s="4"/>
    </row>
    <row r="33" spans="1:17" x14ac:dyDescent="0.25">
      <c r="A33" s="5" t="s">
        <v>3</v>
      </c>
      <c r="B33" s="5" t="s">
        <v>4</v>
      </c>
      <c r="C33" s="5" t="s">
        <v>5</v>
      </c>
      <c r="D33" s="5" t="s">
        <v>6</v>
      </c>
      <c r="E33" s="5" t="s">
        <v>7</v>
      </c>
      <c r="F33" s="5" t="s">
        <v>8</v>
      </c>
      <c r="G33" s="5" t="s">
        <v>9</v>
      </c>
      <c r="H33" s="5" t="s">
        <v>10</v>
      </c>
      <c r="I33" s="5" t="s">
        <v>11</v>
      </c>
      <c r="J33" s="5" t="s">
        <v>12</v>
      </c>
      <c r="K33" s="5" t="s">
        <v>13</v>
      </c>
      <c r="L33" s="5" t="s">
        <v>14</v>
      </c>
      <c r="M33" s="5" t="s">
        <v>15</v>
      </c>
      <c r="N33" s="5" t="s">
        <v>16</v>
      </c>
      <c r="O33" s="5" t="s">
        <v>170</v>
      </c>
      <c r="P33" s="17" t="s">
        <v>169</v>
      </c>
      <c r="Q33" s="5" t="s">
        <v>171</v>
      </c>
    </row>
    <row r="34" spans="1:17" x14ac:dyDescent="0.25">
      <c r="A34" s="6">
        <v>1</v>
      </c>
      <c r="B34" s="6" t="s">
        <v>35</v>
      </c>
      <c r="C34" s="6">
        <v>140</v>
      </c>
      <c r="D34" s="6">
        <v>140</v>
      </c>
      <c r="E34" s="6">
        <v>140</v>
      </c>
      <c r="F34" s="6">
        <v>140</v>
      </c>
      <c r="G34" s="6">
        <v>140</v>
      </c>
      <c r="H34" s="6">
        <v>140</v>
      </c>
      <c r="I34" s="6">
        <v>280</v>
      </c>
      <c r="J34" s="6">
        <v>280</v>
      </c>
      <c r="K34" s="31" t="s">
        <v>187</v>
      </c>
      <c r="L34" s="6">
        <v>280</v>
      </c>
      <c r="M34" s="6">
        <v>140</v>
      </c>
      <c r="N34" s="6">
        <v>140</v>
      </c>
      <c r="O34" s="23"/>
      <c r="P34" s="18">
        <f>SUM(C34:O34)</f>
        <v>1960</v>
      </c>
      <c r="Q34" s="6"/>
    </row>
    <row r="35" spans="1:17" x14ac:dyDescent="0.25">
      <c r="A35" s="6">
        <v>2</v>
      </c>
      <c r="B35" s="6" t="s">
        <v>36</v>
      </c>
      <c r="C35" s="25" t="s">
        <v>187</v>
      </c>
      <c r="D35" s="25"/>
      <c r="E35" s="25">
        <v>840</v>
      </c>
      <c r="F35" s="25" t="s">
        <v>187</v>
      </c>
      <c r="G35" s="25"/>
      <c r="H35" s="25"/>
      <c r="I35" s="6"/>
      <c r="J35" s="6"/>
      <c r="K35" s="6"/>
      <c r="L35" s="6">
        <v>100</v>
      </c>
      <c r="M35" s="6"/>
      <c r="N35" s="6"/>
      <c r="O35" s="23"/>
      <c r="P35" s="18">
        <f t="shared" ref="P35:P50" si="2">SUM(C35:O35)</f>
        <v>940</v>
      </c>
      <c r="Q35" s="6"/>
    </row>
    <row r="36" spans="1:17" x14ac:dyDescent="0.25">
      <c r="A36" s="6">
        <v>3</v>
      </c>
      <c r="B36" s="6" t="s">
        <v>37</v>
      </c>
      <c r="C36" s="95" t="s">
        <v>187</v>
      </c>
      <c r="D36" s="97"/>
      <c r="E36" s="6">
        <v>1260</v>
      </c>
      <c r="F36" s="102" t="s">
        <v>187</v>
      </c>
      <c r="G36" s="104"/>
      <c r="H36" s="104"/>
      <c r="I36" s="104"/>
      <c r="J36" s="103"/>
      <c r="K36" s="22">
        <v>1120</v>
      </c>
      <c r="L36" s="6"/>
      <c r="M36" s="6"/>
      <c r="N36" s="6"/>
      <c r="O36" s="23"/>
      <c r="P36" s="18">
        <f>SUM(D36:O36)</f>
        <v>2380</v>
      </c>
      <c r="Q36" s="6" t="s">
        <v>173</v>
      </c>
    </row>
    <row r="37" spans="1:17" x14ac:dyDescent="0.25">
      <c r="A37" s="6">
        <v>4</v>
      </c>
      <c r="B37" s="6" t="s">
        <v>38</v>
      </c>
      <c r="C37" s="6">
        <v>560</v>
      </c>
      <c r="D37" s="31" t="s">
        <v>187</v>
      </c>
      <c r="E37" s="6">
        <v>280</v>
      </c>
      <c r="F37" s="31" t="s">
        <v>187</v>
      </c>
      <c r="G37" s="6">
        <v>280</v>
      </c>
      <c r="H37" s="31" t="s">
        <v>187</v>
      </c>
      <c r="I37" s="6">
        <v>280</v>
      </c>
      <c r="J37" s="6">
        <v>140</v>
      </c>
      <c r="K37" s="6">
        <v>140</v>
      </c>
      <c r="L37" s="6">
        <v>280</v>
      </c>
      <c r="M37" s="95" t="s">
        <v>187</v>
      </c>
      <c r="N37" s="97"/>
      <c r="O37" s="23"/>
      <c r="P37" s="18">
        <f t="shared" si="2"/>
        <v>1960</v>
      </c>
      <c r="Q37" s="6" t="s">
        <v>191</v>
      </c>
    </row>
    <row r="38" spans="1:17" x14ac:dyDescent="0.25">
      <c r="A38" s="6">
        <v>5</v>
      </c>
      <c r="B38" s="6" t="s">
        <v>39</v>
      </c>
      <c r="C38" s="6">
        <v>280</v>
      </c>
      <c r="D38" s="31" t="s">
        <v>187</v>
      </c>
      <c r="E38" s="6">
        <v>140</v>
      </c>
      <c r="F38" s="6">
        <v>280</v>
      </c>
      <c r="G38" s="6">
        <v>140</v>
      </c>
      <c r="H38" s="6">
        <v>140</v>
      </c>
      <c r="I38" s="6">
        <v>140</v>
      </c>
      <c r="J38" s="6">
        <v>280</v>
      </c>
      <c r="K38" s="6">
        <v>140</v>
      </c>
      <c r="L38" s="6">
        <v>140</v>
      </c>
      <c r="M38" s="6">
        <v>140</v>
      </c>
      <c r="N38" s="6">
        <v>140</v>
      </c>
      <c r="O38" s="23"/>
      <c r="P38" s="18">
        <f t="shared" si="2"/>
        <v>1960</v>
      </c>
      <c r="Q38" s="6"/>
    </row>
    <row r="39" spans="1:17" x14ac:dyDescent="0.25">
      <c r="A39" s="6">
        <v>6</v>
      </c>
      <c r="B39" s="6" t="s">
        <v>40</v>
      </c>
      <c r="C39" s="95" t="s">
        <v>187</v>
      </c>
      <c r="D39" s="97"/>
      <c r="E39" s="95" t="s">
        <v>187</v>
      </c>
      <c r="F39" s="96"/>
      <c r="G39" s="97"/>
      <c r="H39" s="6">
        <v>280</v>
      </c>
      <c r="I39" s="95" t="s">
        <v>187</v>
      </c>
      <c r="J39" s="96"/>
      <c r="K39" s="96"/>
      <c r="L39" s="96"/>
      <c r="M39" s="96"/>
      <c r="N39" s="97"/>
      <c r="O39" s="6" t="s">
        <v>187</v>
      </c>
      <c r="P39" s="18">
        <f t="shared" si="2"/>
        <v>280</v>
      </c>
      <c r="Q39" s="6" t="s">
        <v>192</v>
      </c>
    </row>
    <row r="40" spans="1:17" x14ac:dyDescent="0.25">
      <c r="A40" s="6">
        <v>7</v>
      </c>
      <c r="B40" s="6" t="s">
        <v>41</v>
      </c>
      <c r="C40" s="6">
        <v>420</v>
      </c>
      <c r="D40" s="31" t="s">
        <v>187</v>
      </c>
      <c r="E40" s="6">
        <v>280</v>
      </c>
      <c r="F40" s="95" t="s">
        <v>187</v>
      </c>
      <c r="G40" s="97"/>
      <c r="H40" s="6">
        <v>560</v>
      </c>
      <c r="I40" s="31" t="s">
        <v>187</v>
      </c>
      <c r="J40" s="6">
        <v>280</v>
      </c>
      <c r="K40" s="95" t="s">
        <v>187</v>
      </c>
      <c r="L40" s="96"/>
      <c r="M40" s="97"/>
      <c r="N40" s="6">
        <v>560</v>
      </c>
      <c r="O40" s="6"/>
      <c r="P40" s="18">
        <f t="shared" si="2"/>
        <v>2100</v>
      </c>
      <c r="Q40" s="6" t="s">
        <v>183</v>
      </c>
    </row>
    <row r="41" spans="1:17" x14ac:dyDescent="0.25">
      <c r="A41" s="6">
        <v>8</v>
      </c>
      <c r="B41" s="6" t="s">
        <v>42</v>
      </c>
      <c r="C41" s="32" t="s">
        <v>187</v>
      </c>
      <c r="D41" s="24">
        <v>1680</v>
      </c>
      <c r="E41" s="102" t="s">
        <v>187</v>
      </c>
      <c r="F41" s="104"/>
      <c r="G41" s="104"/>
      <c r="H41" s="104"/>
      <c r="I41" s="103"/>
      <c r="J41" s="24">
        <v>840</v>
      </c>
      <c r="K41" s="102" t="s">
        <v>187</v>
      </c>
      <c r="L41" s="104"/>
      <c r="M41" s="104"/>
      <c r="N41" s="103"/>
      <c r="O41" s="23"/>
      <c r="P41" s="18">
        <f>SUM(D41:O41)</f>
        <v>2520</v>
      </c>
      <c r="Q41" s="6" t="s">
        <v>172</v>
      </c>
    </row>
    <row r="42" spans="1:17" x14ac:dyDescent="0.25">
      <c r="A42" s="6">
        <v>9</v>
      </c>
      <c r="B42" s="6" t="s">
        <v>43</v>
      </c>
      <c r="C42" s="95" t="s">
        <v>187</v>
      </c>
      <c r="D42" s="97"/>
      <c r="E42" s="6">
        <v>1400</v>
      </c>
      <c r="F42" s="102" t="s">
        <v>187</v>
      </c>
      <c r="G42" s="104"/>
      <c r="H42" s="104"/>
      <c r="I42" s="104"/>
      <c r="J42" s="103"/>
      <c r="K42" s="22">
        <v>1120</v>
      </c>
      <c r="L42" s="95" t="s">
        <v>187</v>
      </c>
      <c r="M42" s="96"/>
      <c r="N42" s="97"/>
      <c r="O42" s="23"/>
      <c r="P42" s="18">
        <f t="shared" si="2"/>
        <v>2520</v>
      </c>
      <c r="Q42" s="6" t="s">
        <v>173</v>
      </c>
    </row>
    <row r="43" spans="1:17" x14ac:dyDescent="0.25">
      <c r="A43" s="6">
        <v>10</v>
      </c>
      <c r="B43" s="6" t="s">
        <v>44</v>
      </c>
      <c r="C43" s="95" t="s">
        <v>187</v>
      </c>
      <c r="D43" s="97"/>
      <c r="E43" s="6">
        <v>1400</v>
      </c>
      <c r="F43" s="95" t="s">
        <v>187</v>
      </c>
      <c r="G43" s="96"/>
      <c r="H43" s="96"/>
      <c r="I43" s="97"/>
      <c r="J43" s="6">
        <v>420</v>
      </c>
      <c r="K43" s="95" t="s">
        <v>187</v>
      </c>
      <c r="L43" s="96"/>
      <c r="M43" s="96"/>
      <c r="N43" s="97"/>
      <c r="O43" s="23"/>
      <c r="P43" s="18">
        <f t="shared" si="2"/>
        <v>1820</v>
      </c>
      <c r="Q43" s="6"/>
    </row>
    <row r="44" spans="1:17" x14ac:dyDescent="0.25">
      <c r="A44" s="6">
        <v>11</v>
      </c>
      <c r="B44" s="6" t="s">
        <v>45</v>
      </c>
      <c r="C44" s="32" t="s">
        <v>187</v>
      </c>
      <c r="D44" s="24">
        <v>840</v>
      </c>
      <c r="E44" s="102" t="s">
        <v>187</v>
      </c>
      <c r="F44" s="104"/>
      <c r="G44" s="104"/>
      <c r="H44" s="103"/>
      <c r="I44" s="24">
        <v>840</v>
      </c>
      <c r="J44" s="102" t="s">
        <v>187</v>
      </c>
      <c r="K44" s="104"/>
      <c r="L44" s="104"/>
      <c r="M44" s="103"/>
      <c r="N44" s="32">
        <v>840</v>
      </c>
      <c r="O44" s="24">
        <v>50</v>
      </c>
      <c r="P44" s="18">
        <f t="shared" si="2"/>
        <v>2570</v>
      </c>
      <c r="Q44" s="6"/>
    </row>
    <row r="45" spans="1:17" x14ac:dyDescent="0.25">
      <c r="A45" s="6">
        <v>12</v>
      </c>
      <c r="B45" s="6" t="s">
        <v>46</v>
      </c>
      <c r="C45" s="102" t="s">
        <v>187</v>
      </c>
      <c r="D45" s="104"/>
      <c r="E45" s="104"/>
      <c r="F45" s="104"/>
      <c r="G45" s="103"/>
      <c r="H45" s="32">
        <v>1680</v>
      </c>
      <c r="I45" s="102" t="s">
        <v>187</v>
      </c>
      <c r="J45" s="104"/>
      <c r="K45" s="104"/>
      <c r="L45" s="104"/>
      <c r="M45" s="104"/>
      <c r="N45" s="103"/>
      <c r="O45" s="24">
        <v>50</v>
      </c>
      <c r="P45" s="18">
        <f t="shared" si="2"/>
        <v>1730</v>
      </c>
      <c r="Q45" s="6" t="s">
        <v>201</v>
      </c>
    </row>
    <row r="46" spans="1:17" x14ac:dyDescent="0.25">
      <c r="A46" s="6">
        <v>13</v>
      </c>
      <c r="B46" s="6" t="s">
        <v>47</v>
      </c>
      <c r="C46" s="102" t="s">
        <v>187</v>
      </c>
      <c r="D46" s="104"/>
      <c r="E46" s="104"/>
      <c r="F46" s="104"/>
      <c r="G46" s="104"/>
      <c r="H46" s="103"/>
      <c r="I46" s="24">
        <v>900</v>
      </c>
      <c r="J46" s="102" t="s">
        <v>187</v>
      </c>
      <c r="K46" s="104"/>
      <c r="L46" s="104"/>
      <c r="M46" s="104"/>
      <c r="N46" s="103"/>
      <c r="O46" s="6" t="s">
        <v>187</v>
      </c>
      <c r="P46" s="18">
        <f t="shared" si="2"/>
        <v>900</v>
      </c>
      <c r="Q46" s="6" t="s">
        <v>174</v>
      </c>
    </row>
    <row r="47" spans="1:17" x14ac:dyDescent="0.25">
      <c r="A47" s="6">
        <v>14</v>
      </c>
      <c r="B47" s="6" t="s">
        <v>48</v>
      </c>
      <c r="C47" s="102" t="s">
        <v>187</v>
      </c>
      <c r="D47" s="104"/>
      <c r="E47" s="103"/>
      <c r="F47" s="32">
        <v>1680</v>
      </c>
      <c r="G47" s="102" t="s">
        <v>187</v>
      </c>
      <c r="H47" s="104"/>
      <c r="I47" s="104"/>
      <c r="J47" s="104"/>
      <c r="K47" s="104"/>
      <c r="L47" s="104"/>
      <c r="M47" s="104"/>
      <c r="N47" s="103"/>
      <c r="O47" s="24">
        <v>50</v>
      </c>
      <c r="P47" s="18">
        <f t="shared" si="2"/>
        <v>1730</v>
      </c>
      <c r="Q47" s="6" t="s">
        <v>175</v>
      </c>
    </row>
    <row r="48" spans="1:17" x14ac:dyDescent="0.25">
      <c r="A48" s="6">
        <v>15</v>
      </c>
      <c r="B48" s="6" t="s">
        <v>49</v>
      </c>
      <c r="C48" s="6">
        <v>140</v>
      </c>
      <c r="D48" s="95" t="s">
        <v>187</v>
      </c>
      <c r="E48" s="97"/>
      <c r="F48" s="6">
        <v>280</v>
      </c>
      <c r="G48" s="6">
        <v>280</v>
      </c>
      <c r="H48" s="6">
        <v>140</v>
      </c>
      <c r="I48" s="6">
        <v>140</v>
      </c>
      <c r="J48" s="6">
        <v>280</v>
      </c>
      <c r="K48" s="6">
        <v>140</v>
      </c>
      <c r="L48" s="6">
        <v>140</v>
      </c>
      <c r="M48" s="6">
        <v>140</v>
      </c>
      <c r="N48" s="6">
        <v>140</v>
      </c>
      <c r="O48" s="6" t="s">
        <v>187</v>
      </c>
      <c r="P48" s="18">
        <f t="shared" si="2"/>
        <v>1820</v>
      </c>
      <c r="Q48" s="6"/>
    </row>
    <row r="49" spans="1:17" x14ac:dyDescent="0.25">
      <c r="A49" s="6">
        <v>16</v>
      </c>
      <c r="B49" s="6" t="s">
        <v>50</v>
      </c>
      <c r="C49" s="24" t="s">
        <v>187</v>
      </c>
      <c r="D49" s="24">
        <v>900</v>
      </c>
      <c r="E49" s="102" t="s">
        <v>187</v>
      </c>
      <c r="F49" s="104"/>
      <c r="G49" s="104"/>
      <c r="H49" s="103"/>
      <c r="I49" s="32">
        <v>900</v>
      </c>
      <c r="J49" s="102" t="s">
        <v>187</v>
      </c>
      <c r="K49" s="104"/>
      <c r="L49" s="104"/>
      <c r="M49" s="104"/>
      <c r="N49" s="103"/>
      <c r="O49" s="24">
        <v>50</v>
      </c>
      <c r="P49" s="18">
        <f t="shared" si="2"/>
        <v>1850</v>
      </c>
      <c r="Q49" s="6" t="s">
        <v>176</v>
      </c>
    </row>
    <row r="50" spans="1:17" x14ac:dyDescent="0.25">
      <c r="A50" s="6">
        <v>17</v>
      </c>
      <c r="B50" s="6" t="s">
        <v>51</v>
      </c>
      <c r="C50" s="95" t="s">
        <v>187</v>
      </c>
      <c r="D50" s="97"/>
      <c r="E50" s="95" t="s">
        <v>187</v>
      </c>
      <c r="F50" s="96"/>
      <c r="G50" s="96"/>
      <c r="H50" s="97"/>
      <c r="I50" s="6">
        <v>600</v>
      </c>
      <c r="J50" s="95" t="s">
        <v>187</v>
      </c>
      <c r="K50" s="97"/>
      <c r="L50" s="6">
        <v>1050</v>
      </c>
      <c r="M50" s="95" t="s">
        <v>187</v>
      </c>
      <c r="N50" s="97"/>
      <c r="O50" s="6" t="s">
        <v>187</v>
      </c>
      <c r="P50" s="18">
        <f t="shared" si="2"/>
        <v>1650</v>
      </c>
      <c r="Q50" s="6"/>
    </row>
    <row r="51" spans="1:17" ht="15.75" thickBot="1" x14ac:dyDescent="0.3">
      <c r="A51" s="105" t="s">
        <v>169</v>
      </c>
      <c r="B51" s="106"/>
      <c r="C51" s="20">
        <f>SUM(C31:C50)</f>
        <v>1540</v>
      </c>
      <c r="D51" s="20">
        <f t="shared" ref="D51" si="3">SUM(D31:D50)</f>
        <v>3560</v>
      </c>
      <c r="E51" s="20">
        <f t="shared" ref="E51" si="4">SUM(E31:E50)</f>
        <v>5740</v>
      </c>
      <c r="F51" s="20">
        <f t="shared" ref="F51" si="5">SUM(F31:F50)</f>
        <v>2380</v>
      </c>
      <c r="G51" s="20">
        <f t="shared" ref="G51" si="6">SUM(G31:G50)</f>
        <v>840</v>
      </c>
      <c r="H51" s="20">
        <f t="shared" ref="H51" si="7">SUM(H31:H50)</f>
        <v>2940</v>
      </c>
      <c r="I51" s="20">
        <f t="shared" ref="I51" si="8">SUM(I31:I50)</f>
        <v>4080</v>
      </c>
      <c r="J51" s="20">
        <f t="shared" ref="J51" si="9">SUM(J31:J50)</f>
        <v>2520</v>
      </c>
      <c r="K51" s="20">
        <f t="shared" ref="K51" si="10">SUM(K31:K50)</f>
        <v>2660</v>
      </c>
      <c r="L51" s="20">
        <f t="shared" ref="L51" si="11">SUM(L31:L50)</f>
        <v>1990</v>
      </c>
      <c r="M51" s="20">
        <f t="shared" ref="M51" si="12">SUM(M31:M50)</f>
        <v>420</v>
      </c>
      <c r="N51" s="20">
        <f t="shared" ref="N51" si="13">SUM(N31:N50)</f>
        <v>3844</v>
      </c>
      <c r="O51" s="6"/>
      <c r="P51" s="19">
        <f>SUM(P34:P50)</f>
        <v>30690</v>
      </c>
    </row>
    <row r="52" spans="1:17" ht="15.75" thickTop="1" x14ac:dyDescent="0.25"/>
    <row r="54" spans="1:17" ht="15.75" x14ac:dyDescent="0.25">
      <c r="A54" s="1"/>
      <c r="B54" s="1"/>
      <c r="C54" s="1"/>
      <c r="D54" s="1"/>
      <c r="E54" s="1"/>
      <c r="F54" s="2" t="s">
        <v>0</v>
      </c>
      <c r="G54" s="1"/>
      <c r="H54" s="1"/>
      <c r="I54" s="1"/>
      <c r="J54" s="1"/>
      <c r="K54" s="1"/>
      <c r="L54" s="1"/>
      <c r="M54" s="1"/>
      <c r="N54" s="1"/>
      <c r="O54" s="1"/>
    </row>
    <row r="55" spans="1:17" ht="15.75" x14ac:dyDescent="0.25">
      <c r="A55" s="1"/>
      <c r="B55" s="1"/>
      <c r="C55" s="1"/>
      <c r="D55" s="1"/>
      <c r="E55" s="1"/>
      <c r="F55" s="2"/>
      <c r="G55" s="1"/>
      <c r="H55" s="1"/>
      <c r="I55" s="1"/>
      <c r="J55" s="1"/>
      <c r="K55" s="1"/>
      <c r="L55" s="1"/>
      <c r="M55" s="3" t="s">
        <v>1</v>
      </c>
      <c r="N55" s="4">
        <v>3</v>
      </c>
      <c r="O55" s="4"/>
    </row>
    <row r="56" spans="1:17" x14ac:dyDescent="0.25">
      <c r="A56" s="1"/>
      <c r="B56" s="1"/>
      <c r="C56" s="1"/>
      <c r="D56" s="1"/>
      <c r="E56" s="1"/>
      <c r="F56" s="1"/>
      <c r="G56" s="1"/>
      <c r="H56" s="1"/>
      <c r="I56" s="1" t="s">
        <v>245</v>
      </c>
      <c r="J56" s="1"/>
      <c r="K56" s="1"/>
      <c r="L56" s="1"/>
      <c r="M56" s="3" t="s">
        <v>2</v>
      </c>
      <c r="N56" s="4">
        <v>2022</v>
      </c>
      <c r="O56" s="4"/>
    </row>
    <row r="57" spans="1:17" x14ac:dyDescent="0.25">
      <c r="A57" s="5" t="s">
        <v>3</v>
      </c>
      <c r="B57" s="5" t="s">
        <v>4</v>
      </c>
      <c r="C57" s="5" t="s">
        <v>5</v>
      </c>
      <c r="D57" s="5" t="s">
        <v>6</v>
      </c>
      <c r="E57" s="5" t="s">
        <v>7</v>
      </c>
      <c r="F57" s="5" t="s">
        <v>8</v>
      </c>
      <c r="G57" s="5" t="s">
        <v>9</v>
      </c>
      <c r="H57" s="5" t="s">
        <v>10</v>
      </c>
      <c r="I57" s="5" t="s">
        <v>11</v>
      </c>
      <c r="J57" s="5" t="s">
        <v>12</v>
      </c>
      <c r="K57" s="5" t="s">
        <v>13</v>
      </c>
      <c r="L57" s="5" t="s">
        <v>14</v>
      </c>
      <c r="M57" s="5" t="s">
        <v>15</v>
      </c>
      <c r="N57" s="5" t="s">
        <v>16</v>
      </c>
      <c r="O57" s="5" t="s">
        <v>170</v>
      </c>
      <c r="P57" s="17" t="s">
        <v>169</v>
      </c>
      <c r="Q57" s="5" t="s">
        <v>171</v>
      </c>
    </row>
    <row r="58" spans="1:17" x14ac:dyDescent="0.25">
      <c r="A58" s="6">
        <v>1</v>
      </c>
      <c r="B58" s="6" t="s">
        <v>52</v>
      </c>
      <c r="C58" s="6">
        <v>130</v>
      </c>
      <c r="D58" s="108">
        <v>260</v>
      </c>
      <c r="E58" s="109"/>
      <c r="F58" s="6">
        <v>130</v>
      </c>
      <c r="G58" s="31" t="s">
        <v>187</v>
      </c>
      <c r="H58" s="6">
        <v>260</v>
      </c>
      <c r="I58" s="6">
        <v>130</v>
      </c>
      <c r="J58" s="95" t="s">
        <v>187</v>
      </c>
      <c r="K58" s="97"/>
      <c r="L58" s="6">
        <v>390</v>
      </c>
      <c r="M58" s="95" t="s">
        <v>187</v>
      </c>
      <c r="N58" s="97"/>
      <c r="O58" s="23"/>
      <c r="P58" s="18">
        <f>SUM(C58:O58)</f>
        <v>1300</v>
      </c>
      <c r="Q58" s="6" t="s">
        <v>249</v>
      </c>
    </row>
    <row r="59" spans="1:17" x14ac:dyDescent="0.25">
      <c r="A59" s="6">
        <v>2</v>
      </c>
      <c r="B59" s="6" t="s">
        <v>53</v>
      </c>
      <c r="C59" s="95" t="s">
        <v>187</v>
      </c>
      <c r="D59" s="96"/>
      <c r="E59" s="96"/>
      <c r="F59" s="97"/>
      <c r="G59" s="6">
        <v>700</v>
      </c>
      <c r="H59" s="95" t="s">
        <v>187</v>
      </c>
      <c r="I59" s="96"/>
      <c r="J59" s="96"/>
      <c r="K59" s="97"/>
      <c r="L59" s="6">
        <v>700</v>
      </c>
      <c r="M59" s="31" t="s">
        <v>187</v>
      </c>
      <c r="N59" s="6" t="s">
        <v>187</v>
      </c>
      <c r="O59" s="23"/>
      <c r="P59" s="18">
        <f t="shared" ref="P59:P76" si="14">SUM(C59:O59)</f>
        <v>1400</v>
      </c>
      <c r="Q59" s="6"/>
    </row>
    <row r="60" spans="1:17" x14ac:dyDescent="0.25">
      <c r="A60" s="6">
        <v>3</v>
      </c>
      <c r="B60" s="6" t="s">
        <v>54</v>
      </c>
      <c r="C60" s="31" t="s">
        <v>187</v>
      </c>
      <c r="D60" s="6">
        <v>260</v>
      </c>
      <c r="E60" s="95" t="s">
        <v>187</v>
      </c>
      <c r="F60" s="97"/>
      <c r="G60" s="6">
        <v>390</v>
      </c>
      <c r="H60" s="6">
        <v>130</v>
      </c>
      <c r="I60" s="6">
        <v>130</v>
      </c>
      <c r="J60" s="6" t="s">
        <v>187</v>
      </c>
      <c r="K60" s="31" t="s">
        <v>187</v>
      </c>
      <c r="L60" s="95" t="s">
        <v>187</v>
      </c>
      <c r="M60" s="97"/>
      <c r="N60" s="6" t="s">
        <v>187</v>
      </c>
      <c r="O60" s="23"/>
      <c r="P60" s="18">
        <f t="shared" si="14"/>
        <v>910</v>
      </c>
      <c r="Q60" s="6"/>
    </row>
    <row r="61" spans="1:17" x14ac:dyDescent="0.25">
      <c r="A61" s="6">
        <v>5</v>
      </c>
      <c r="B61" s="6" t="s">
        <v>55</v>
      </c>
      <c r="C61" s="95" t="s">
        <v>187</v>
      </c>
      <c r="D61" s="96"/>
      <c r="E61" s="96"/>
      <c r="F61" s="96"/>
      <c r="G61" s="96"/>
      <c r="H61" s="97"/>
      <c r="I61" s="6">
        <v>910</v>
      </c>
      <c r="J61" s="95" t="s">
        <v>187</v>
      </c>
      <c r="K61" s="96"/>
      <c r="L61" s="96"/>
      <c r="M61" s="96"/>
      <c r="N61" s="97"/>
      <c r="O61" s="23"/>
      <c r="P61" s="18">
        <f t="shared" si="14"/>
        <v>910</v>
      </c>
      <c r="Q61" s="6"/>
    </row>
    <row r="62" spans="1:17" x14ac:dyDescent="0.25">
      <c r="A62" s="6">
        <v>6</v>
      </c>
      <c r="B62" s="6" t="s">
        <v>56</v>
      </c>
      <c r="C62" s="95" t="s">
        <v>244</v>
      </c>
      <c r="D62" s="97"/>
      <c r="E62" s="6">
        <v>910</v>
      </c>
      <c r="F62" s="95" t="s">
        <v>187</v>
      </c>
      <c r="G62" s="96"/>
      <c r="H62" s="96"/>
      <c r="I62" s="96"/>
      <c r="J62" s="96"/>
      <c r="K62" s="96"/>
      <c r="L62" s="96"/>
      <c r="M62" s="96"/>
      <c r="N62" s="97"/>
      <c r="O62" s="23"/>
      <c r="P62" s="18">
        <f t="shared" si="14"/>
        <v>910</v>
      </c>
      <c r="Q62" s="6" t="s">
        <v>190</v>
      </c>
    </row>
    <row r="63" spans="1:17" x14ac:dyDescent="0.25">
      <c r="A63" s="6">
        <v>7</v>
      </c>
      <c r="B63" s="6" t="s">
        <v>57</v>
      </c>
      <c r="C63" s="6">
        <v>130</v>
      </c>
      <c r="D63" s="6">
        <v>130</v>
      </c>
      <c r="E63" s="6">
        <v>130</v>
      </c>
      <c r="F63" s="6">
        <v>130</v>
      </c>
      <c r="G63" s="6">
        <v>130</v>
      </c>
      <c r="H63" s="6">
        <v>130</v>
      </c>
      <c r="I63" s="6">
        <v>130</v>
      </c>
      <c r="J63" s="6">
        <v>130</v>
      </c>
      <c r="K63" s="6">
        <v>130</v>
      </c>
      <c r="L63" s="6">
        <v>130</v>
      </c>
      <c r="M63" s="6">
        <v>130</v>
      </c>
      <c r="N63" s="6">
        <v>130</v>
      </c>
      <c r="O63" s="23"/>
      <c r="P63" s="18">
        <f t="shared" si="14"/>
        <v>1560</v>
      </c>
      <c r="Q63" s="6"/>
    </row>
    <row r="64" spans="1:17" x14ac:dyDescent="0.25">
      <c r="A64" s="6">
        <v>8</v>
      </c>
      <c r="B64" s="6" t="s">
        <v>58</v>
      </c>
      <c r="C64" s="6">
        <v>140</v>
      </c>
      <c r="D64" s="6">
        <v>140</v>
      </c>
      <c r="E64" s="6">
        <v>140</v>
      </c>
      <c r="F64" s="6">
        <v>140</v>
      </c>
      <c r="G64" s="6">
        <v>140</v>
      </c>
      <c r="H64" s="6">
        <v>140</v>
      </c>
      <c r="I64" s="6">
        <v>140</v>
      </c>
      <c r="J64" s="6">
        <v>140</v>
      </c>
      <c r="K64" s="6">
        <v>140</v>
      </c>
      <c r="L64" s="6">
        <v>140</v>
      </c>
      <c r="M64" s="6">
        <v>140</v>
      </c>
      <c r="N64" s="31" t="s">
        <v>187</v>
      </c>
      <c r="O64" s="23"/>
      <c r="P64" s="18">
        <f t="shared" si="14"/>
        <v>1540</v>
      </c>
      <c r="Q64" s="6"/>
    </row>
    <row r="65" spans="1:17" x14ac:dyDescent="0.25">
      <c r="A65" s="6">
        <v>9</v>
      </c>
      <c r="B65" s="6" t="s">
        <v>59</v>
      </c>
      <c r="C65" s="95" t="s">
        <v>187</v>
      </c>
      <c r="D65" s="97"/>
      <c r="E65" s="6">
        <v>390</v>
      </c>
      <c r="F65" s="31" t="s">
        <v>187</v>
      </c>
      <c r="G65" s="6">
        <v>260</v>
      </c>
      <c r="H65" s="31" t="s">
        <v>187</v>
      </c>
      <c r="I65" s="6">
        <v>260</v>
      </c>
      <c r="J65" s="6" t="s">
        <v>187</v>
      </c>
      <c r="K65" s="6">
        <v>260</v>
      </c>
      <c r="L65" s="95" t="s">
        <v>187</v>
      </c>
      <c r="M65" s="96"/>
      <c r="N65" s="97"/>
      <c r="O65" s="23"/>
      <c r="P65" s="18">
        <f t="shared" si="14"/>
        <v>1170</v>
      </c>
      <c r="Q65" s="6" t="s">
        <v>194</v>
      </c>
    </row>
    <row r="66" spans="1:17" x14ac:dyDescent="0.25">
      <c r="A66" s="6">
        <v>10</v>
      </c>
      <c r="B66" s="6" t="s">
        <v>60</v>
      </c>
      <c r="C66" s="95" t="s">
        <v>187</v>
      </c>
      <c r="D66" s="96"/>
      <c r="E66" s="97"/>
      <c r="F66" s="6">
        <v>1560</v>
      </c>
      <c r="G66" s="95" t="s">
        <v>187</v>
      </c>
      <c r="H66" s="96"/>
      <c r="I66" s="96"/>
      <c r="J66" s="96"/>
      <c r="K66" s="96"/>
      <c r="L66" s="96"/>
      <c r="M66" s="96"/>
      <c r="N66" s="97"/>
      <c r="O66" s="23"/>
      <c r="P66" s="18">
        <f t="shared" si="14"/>
        <v>1560</v>
      </c>
      <c r="Q66" s="6"/>
    </row>
    <row r="67" spans="1:17" x14ac:dyDescent="0.25">
      <c r="A67" s="6">
        <v>11</v>
      </c>
      <c r="B67" s="6" t="s">
        <v>61</v>
      </c>
      <c r="C67" s="95" t="s">
        <v>187</v>
      </c>
      <c r="D67" s="96"/>
      <c r="E67" s="96"/>
      <c r="F67" s="96"/>
      <c r="G67" s="96"/>
      <c r="H67" s="97"/>
      <c r="I67" s="6">
        <v>1560</v>
      </c>
      <c r="J67" s="95" t="s">
        <v>187</v>
      </c>
      <c r="K67" s="96"/>
      <c r="L67" s="96"/>
      <c r="M67" s="96"/>
      <c r="N67" s="97"/>
      <c r="O67" s="23"/>
      <c r="P67" s="18">
        <f t="shared" si="14"/>
        <v>1560</v>
      </c>
      <c r="Q67" s="6"/>
    </row>
    <row r="68" spans="1:17" x14ac:dyDescent="0.25">
      <c r="A68" s="6">
        <v>12</v>
      </c>
      <c r="B68" s="6" t="s">
        <v>62</v>
      </c>
      <c r="C68" s="95" t="s">
        <v>187</v>
      </c>
      <c r="D68" s="96"/>
      <c r="E68" s="96"/>
      <c r="F68" s="96"/>
      <c r="G68" s="96"/>
      <c r="H68" s="96"/>
      <c r="I68" s="96"/>
      <c r="J68" s="96"/>
      <c r="K68" s="97"/>
      <c r="L68" s="6">
        <v>1680</v>
      </c>
      <c r="M68" s="95" t="s">
        <v>187</v>
      </c>
      <c r="N68" s="97"/>
      <c r="O68" s="23"/>
      <c r="P68" s="18">
        <f t="shared" si="14"/>
        <v>1680</v>
      </c>
      <c r="Q68" s="6"/>
    </row>
    <row r="69" spans="1:17" x14ac:dyDescent="0.25">
      <c r="A69" s="6">
        <v>13</v>
      </c>
      <c r="B69" s="6" t="s">
        <v>63</v>
      </c>
      <c r="C69" s="31" t="s">
        <v>187</v>
      </c>
      <c r="D69" s="6">
        <v>260</v>
      </c>
      <c r="E69" s="31" t="s">
        <v>187</v>
      </c>
      <c r="F69" s="6">
        <v>260</v>
      </c>
      <c r="G69" s="31" t="s">
        <v>187</v>
      </c>
      <c r="H69" s="6">
        <v>260</v>
      </c>
      <c r="I69" s="31" t="s">
        <v>187</v>
      </c>
      <c r="J69" s="6">
        <v>260</v>
      </c>
      <c r="K69" s="31" t="s">
        <v>187</v>
      </c>
      <c r="L69" s="6">
        <v>260</v>
      </c>
      <c r="M69" s="31" t="s">
        <v>187</v>
      </c>
      <c r="N69" s="6">
        <v>260</v>
      </c>
      <c r="O69" s="23"/>
      <c r="P69" s="18">
        <f t="shared" si="14"/>
        <v>1560</v>
      </c>
      <c r="Q69" s="6"/>
    </row>
    <row r="70" spans="1:17" x14ac:dyDescent="0.25">
      <c r="A70" s="6">
        <v>14</v>
      </c>
      <c r="B70" s="6" t="s">
        <v>64</v>
      </c>
      <c r="C70" s="95" t="s">
        <v>187</v>
      </c>
      <c r="D70" s="96"/>
      <c r="E70" s="96"/>
      <c r="F70" s="96"/>
      <c r="G70" s="96"/>
      <c r="H70" s="96"/>
      <c r="I70" s="97"/>
      <c r="J70" s="31">
        <v>3380</v>
      </c>
      <c r="K70" s="95" t="s">
        <v>187</v>
      </c>
      <c r="L70" s="96"/>
      <c r="M70" s="96"/>
      <c r="N70" s="97"/>
      <c r="O70" s="23"/>
      <c r="P70" s="18">
        <f t="shared" si="14"/>
        <v>3380</v>
      </c>
      <c r="Q70" s="6" t="s">
        <v>242</v>
      </c>
    </row>
    <row r="71" spans="1:17" x14ac:dyDescent="0.25">
      <c r="A71" s="6">
        <v>15</v>
      </c>
      <c r="B71" s="6" t="s">
        <v>65</v>
      </c>
      <c r="C71" s="32" t="s">
        <v>187</v>
      </c>
      <c r="D71" s="24">
        <v>1560</v>
      </c>
      <c r="E71" s="102" t="s">
        <v>187</v>
      </c>
      <c r="F71" s="104"/>
      <c r="G71" s="104"/>
      <c r="H71" s="104"/>
      <c r="I71" s="104"/>
      <c r="J71" s="104"/>
      <c r="K71" s="104"/>
      <c r="L71" s="104"/>
      <c r="M71" s="104"/>
      <c r="N71" s="103"/>
      <c r="O71" s="23"/>
      <c r="P71" s="18">
        <f t="shared" si="14"/>
        <v>1560</v>
      </c>
      <c r="Q71" s="6"/>
    </row>
    <row r="72" spans="1:17" x14ac:dyDescent="0.25">
      <c r="A72" s="6">
        <v>16</v>
      </c>
      <c r="B72" s="6" t="s">
        <v>66</v>
      </c>
      <c r="C72" s="95" t="s">
        <v>187</v>
      </c>
      <c r="D72" s="97"/>
      <c r="E72" s="6">
        <v>980</v>
      </c>
      <c r="F72" s="95" t="s">
        <v>187</v>
      </c>
      <c r="G72" s="96"/>
      <c r="H72" s="96"/>
      <c r="I72" s="96"/>
      <c r="J72" s="96"/>
      <c r="K72" s="97"/>
      <c r="L72" s="31">
        <v>1260</v>
      </c>
      <c r="M72" s="95" t="s">
        <v>187</v>
      </c>
      <c r="N72" s="97"/>
      <c r="O72" s="23"/>
      <c r="P72" s="18">
        <f t="shared" si="14"/>
        <v>2240</v>
      </c>
      <c r="Q72" s="6"/>
    </row>
    <row r="73" spans="1:17" x14ac:dyDescent="0.25">
      <c r="A73" s="6">
        <v>17</v>
      </c>
      <c r="B73" s="6" t="s">
        <v>67</v>
      </c>
      <c r="C73" s="99" t="s">
        <v>187</v>
      </c>
      <c r="D73" s="100"/>
      <c r="E73" s="100"/>
      <c r="F73" s="100"/>
      <c r="G73" s="101"/>
      <c r="H73" s="25">
        <v>780</v>
      </c>
      <c r="I73" s="95" t="s">
        <v>187</v>
      </c>
      <c r="J73" s="96"/>
      <c r="K73" s="96"/>
      <c r="L73" s="97"/>
      <c r="M73" s="31">
        <v>780</v>
      </c>
      <c r="N73" s="31" t="s">
        <v>187</v>
      </c>
      <c r="O73" s="23"/>
      <c r="P73" s="18">
        <f t="shared" si="14"/>
        <v>1560</v>
      </c>
      <c r="Q73" s="6"/>
    </row>
    <row r="74" spans="1:17" x14ac:dyDescent="0.25">
      <c r="A74" s="6">
        <v>18</v>
      </c>
      <c r="B74" s="6" t="s">
        <v>68</v>
      </c>
      <c r="C74" s="31" t="s">
        <v>187</v>
      </c>
      <c r="D74" s="31">
        <v>390</v>
      </c>
      <c r="E74" s="31" t="s">
        <v>187</v>
      </c>
      <c r="F74" s="31" t="s">
        <v>187</v>
      </c>
      <c r="G74" s="31">
        <v>390</v>
      </c>
      <c r="H74" s="31" t="s">
        <v>187</v>
      </c>
      <c r="I74" s="31">
        <v>390</v>
      </c>
      <c r="J74" s="95" t="s">
        <v>187</v>
      </c>
      <c r="K74" s="97"/>
      <c r="L74" s="31">
        <v>390</v>
      </c>
      <c r="M74" s="95" t="s">
        <v>187</v>
      </c>
      <c r="N74" s="97"/>
      <c r="O74" s="23"/>
      <c r="P74" s="18">
        <f t="shared" si="14"/>
        <v>1560</v>
      </c>
      <c r="Q74" s="6"/>
    </row>
    <row r="75" spans="1:17" x14ac:dyDescent="0.25">
      <c r="A75" s="6">
        <v>19</v>
      </c>
      <c r="B75" s="6" t="s">
        <v>69</v>
      </c>
      <c r="C75" s="95" t="s">
        <v>187</v>
      </c>
      <c r="D75" s="97"/>
      <c r="E75" s="6">
        <v>1040</v>
      </c>
      <c r="F75" s="95" t="s">
        <v>187</v>
      </c>
      <c r="G75" s="96"/>
      <c r="H75" s="96"/>
      <c r="I75" s="96"/>
      <c r="J75" s="96"/>
      <c r="K75" s="97"/>
      <c r="L75" s="31">
        <v>910</v>
      </c>
      <c r="M75" s="95" t="s">
        <v>187</v>
      </c>
      <c r="N75" s="97"/>
      <c r="O75" s="23"/>
      <c r="P75" s="18">
        <f t="shared" si="14"/>
        <v>1950</v>
      </c>
      <c r="Q75" s="6" t="s">
        <v>516</v>
      </c>
    </row>
    <row r="76" spans="1:17" x14ac:dyDescent="0.25">
      <c r="A76" s="6">
        <v>20</v>
      </c>
      <c r="B76" s="6" t="s">
        <v>70</v>
      </c>
      <c r="C76" s="99" t="s">
        <v>187</v>
      </c>
      <c r="D76" s="100"/>
      <c r="E76" s="101"/>
      <c r="F76" s="25">
        <v>1120</v>
      </c>
      <c r="G76" s="99" t="s">
        <v>187</v>
      </c>
      <c r="H76" s="101"/>
      <c r="I76" s="6"/>
      <c r="J76" s="6"/>
      <c r="K76" s="6"/>
      <c r="L76" s="6"/>
      <c r="M76" s="6"/>
      <c r="N76" s="6"/>
      <c r="O76" s="23"/>
      <c r="P76" s="18">
        <f t="shared" si="14"/>
        <v>1120</v>
      </c>
      <c r="Q76" s="6"/>
    </row>
    <row r="77" spans="1:17" ht="15.75" thickBot="1" x14ac:dyDescent="0.3">
      <c r="A77" s="105" t="s">
        <v>169</v>
      </c>
      <c r="B77" s="106"/>
      <c r="C77" s="20">
        <f>SUM(C57:C76)</f>
        <v>400</v>
      </c>
      <c r="D77" s="20">
        <f t="shared" ref="D77" si="15">SUM(D57:D76)</f>
        <v>3000</v>
      </c>
      <c r="E77" s="20">
        <f t="shared" ref="E77" si="16">SUM(E57:E76)</f>
        <v>3590</v>
      </c>
      <c r="F77" s="20">
        <f t="shared" ref="F77" si="17">SUM(F57:F76)</f>
        <v>3340</v>
      </c>
      <c r="G77" s="20">
        <f t="shared" ref="G77" si="18">SUM(G57:G76)</f>
        <v>2010</v>
      </c>
      <c r="H77" s="20">
        <f t="shared" ref="H77" si="19">SUM(H57:H76)</f>
        <v>1700</v>
      </c>
      <c r="I77" s="20">
        <f t="shared" ref="I77" si="20">SUM(I57:I76)</f>
        <v>3650</v>
      </c>
      <c r="J77" s="20">
        <f t="shared" ref="J77" si="21">SUM(J57:J76)</f>
        <v>3910</v>
      </c>
      <c r="K77" s="20">
        <f t="shared" ref="K77" si="22">SUM(K57:K76)</f>
        <v>530</v>
      </c>
      <c r="L77" s="20">
        <f t="shared" ref="L77" si="23">SUM(L57:L76)</f>
        <v>5860</v>
      </c>
      <c r="M77" s="20">
        <f t="shared" ref="M77" si="24">SUM(M57:M76)</f>
        <v>1050</v>
      </c>
      <c r="N77" s="20">
        <f t="shared" ref="N77" si="25">SUM(N57:N76)</f>
        <v>390</v>
      </c>
      <c r="O77" s="6"/>
      <c r="P77" s="19">
        <f>SUM(P58:P76)</f>
        <v>29430</v>
      </c>
    </row>
    <row r="78" spans="1:17" ht="15.75" thickTop="1" x14ac:dyDescent="0.25"/>
    <row r="79" spans="1:17" ht="15.75" x14ac:dyDescent="0.25">
      <c r="A79" s="1"/>
      <c r="B79" s="1"/>
      <c r="C79" s="1"/>
      <c r="D79" s="1"/>
      <c r="E79" s="1"/>
      <c r="F79" s="2" t="s">
        <v>0</v>
      </c>
      <c r="G79" s="1"/>
      <c r="H79" s="1"/>
      <c r="I79" s="1"/>
      <c r="J79" s="1"/>
      <c r="K79" s="1"/>
      <c r="L79" s="1"/>
      <c r="M79" s="1"/>
      <c r="N79" s="1"/>
      <c r="O79" s="1"/>
    </row>
    <row r="80" spans="1:17" ht="15.75" x14ac:dyDescent="0.25">
      <c r="A80" s="1"/>
      <c r="B80" s="1"/>
      <c r="C80" s="1"/>
      <c r="D80" s="1"/>
      <c r="E80" s="1"/>
      <c r="F80" s="2"/>
      <c r="G80" s="1"/>
      <c r="H80" s="1"/>
      <c r="I80" s="1"/>
      <c r="J80" s="1" t="s">
        <v>248</v>
      </c>
      <c r="K80" s="1" t="s">
        <v>246</v>
      </c>
      <c r="L80" s="1"/>
      <c r="M80" s="3" t="s">
        <v>1</v>
      </c>
      <c r="N80" s="4">
        <v>4</v>
      </c>
      <c r="O80" s="4"/>
    </row>
    <row r="81" spans="1:17" x14ac:dyDescent="0.25">
      <c r="A81" s="1"/>
      <c r="B81" s="1"/>
      <c r="C81" s="1"/>
      <c r="D81" s="1"/>
      <c r="E81" s="1"/>
      <c r="F81" s="1"/>
      <c r="G81" s="1"/>
      <c r="H81" s="1"/>
      <c r="I81" s="1" t="s">
        <v>247</v>
      </c>
      <c r="J81" s="1"/>
      <c r="K81" s="1"/>
      <c r="L81" s="1"/>
      <c r="M81" s="3" t="s">
        <v>2</v>
      </c>
      <c r="N81" s="4">
        <v>2022</v>
      </c>
      <c r="O81" s="4"/>
    </row>
    <row r="82" spans="1:17" x14ac:dyDescent="0.25">
      <c r="A82" s="5" t="s">
        <v>3</v>
      </c>
      <c r="B82" s="5" t="s">
        <v>4</v>
      </c>
      <c r="C82" s="5" t="s">
        <v>5</v>
      </c>
      <c r="D82" s="5" t="s">
        <v>6</v>
      </c>
      <c r="E82" s="5" t="s">
        <v>7</v>
      </c>
      <c r="F82" s="5" t="s">
        <v>8</v>
      </c>
      <c r="G82" s="5" t="s">
        <v>9</v>
      </c>
      <c r="H82" s="5" t="s">
        <v>10</v>
      </c>
      <c r="I82" s="5" t="s">
        <v>11</v>
      </c>
      <c r="J82" s="5" t="s">
        <v>12</v>
      </c>
      <c r="K82" s="5" t="s">
        <v>13</v>
      </c>
      <c r="L82" s="5" t="s">
        <v>14</v>
      </c>
      <c r="M82" s="5" t="s">
        <v>15</v>
      </c>
      <c r="N82" s="5" t="s">
        <v>16</v>
      </c>
      <c r="O82" s="5" t="s">
        <v>170</v>
      </c>
      <c r="P82" s="17" t="s">
        <v>169</v>
      </c>
      <c r="Q82" s="5" t="s">
        <v>171</v>
      </c>
    </row>
    <row r="83" spans="1:17" x14ac:dyDescent="0.25">
      <c r="A83" s="6">
        <v>1</v>
      </c>
      <c r="B83" s="6" t="s">
        <v>71</v>
      </c>
      <c r="C83" s="95" t="s">
        <v>187</v>
      </c>
      <c r="D83" s="96"/>
      <c r="E83" s="96"/>
      <c r="F83" s="96"/>
      <c r="G83" s="97"/>
      <c r="H83" s="31">
        <v>1020</v>
      </c>
      <c r="I83" s="31" t="s">
        <v>187</v>
      </c>
      <c r="J83" s="31">
        <v>260</v>
      </c>
      <c r="K83" s="95" t="s">
        <v>187</v>
      </c>
      <c r="L83" s="97"/>
      <c r="M83" s="6">
        <v>390</v>
      </c>
      <c r="N83" s="31" t="s">
        <v>187</v>
      </c>
      <c r="O83" s="23"/>
      <c r="P83" s="18">
        <f>SUM(D83:O83)</f>
        <v>1670</v>
      </c>
      <c r="Q83" s="6"/>
    </row>
    <row r="84" spans="1:17" x14ac:dyDescent="0.25">
      <c r="A84" s="6">
        <v>2</v>
      </c>
      <c r="B84" s="6" t="s">
        <v>72</v>
      </c>
      <c r="C84" s="6">
        <v>420</v>
      </c>
      <c r="D84" s="95" t="s">
        <v>187</v>
      </c>
      <c r="E84" s="96"/>
      <c r="F84" s="97"/>
      <c r="G84" s="6">
        <v>1680</v>
      </c>
      <c r="H84" s="95" t="s">
        <v>187</v>
      </c>
      <c r="I84" s="96"/>
      <c r="J84" s="96"/>
      <c r="K84" s="96"/>
      <c r="L84" s="96"/>
      <c r="M84" s="96"/>
      <c r="N84" s="97"/>
      <c r="O84" s="23"/>
      <c r="P84" s="18">
        <f t="shared" ref="P84:P103" si="26">SUM(C84:O84)</f>
        <v>2100</v>
      </c>
      <c r="Q84" s="6"/>
    </row>
    <row r="85" spans="1:17" x14ac:dyDescent="0.25">
      <c r="A85" s="6">
        <v>3</v>
      </c>
      <c r="B85" s="6" t="s">
        <v>73</v>
      </c>
      <c r="C85" s="31" t="s">
        <v>187</v>
      </c>
      <c r="D85" s="6">
        <v>140</v>
      </c>
      <c r="E85" s="6">
        <v>140</v>
      </c>
      <c r="F85" s="6">
        <v>140</v>
      </c>
      <c r="G85" s="6">
        <v>140</v>
      </c>
      <c r="H85" s="6">
        <v>280</v>
      </c>
      <c r="I85" s="31" t="s">
        <v>187</v>
      </c>
      <c r="J85" s="6">
        <v>140</v>
      </c>
      <c r="K85" s="31" t="s">
        <v>187</v>
      </c>
      <c r="L85" s="6">
        <v>140</v>
      </c>
      <c r="M85" s="95" t="s">
        <v>187</v>
      </c>
      <c r="N85" s="97"/>
      <c r="O85" s="23"/>
      <c r="P85" s="18">
        <f t="shared" si="26"/>
        <v>1120</v>
      </c>
      <c r="Q85" s="6" t="s">
        <v>193</v>
      </c>
    </row>
    <row r="86" spans="1:17" x14ac:dyDescent="0.25">
      <c r="A86" s="6">
        <v>4</v>
      </c>
      <c r="B86" s="6" t="s">
        <v>74</v>
      </c>
      <c r="C86" s="95" t="s">
        <v>187</v>
      </c>
      <c r="D86" s="96"/>
      <c r="E86" s="97"/>
      <c r="F86" s="6">
        <v>640</v>
      </c>
      <c r="G86" s="6" t="s">
        <v>187</v>
      </c>
      <c r="H86" s="6">
        <v>280</v>
      </c>
      <c r="I86" s="95" t="s">
        <v>187</v>
      </c>
      <c r="J86" s="97"/>
      <c r="K86" s="6">
        <v>560</v>
      </c>
      <c r="L86" s="95" t="s">
        <v>187</v>
      </c>
      <c r="M86" s="96"/>
      <c r="N86" s="97"/>
      <c r="O86" s="31" t="s">
        <v>187</v>
      </c>
      <c r="P86" s="18">
        <f t="shared" si="26"/>
        <v>1480</v>
      </c>
      <c r="Q86" s="6"/>
    </row>
    <row r="87" spans="1:17" x14ac:dyDescent="0.25">
      <c r="A87" s="6">
        <v>5</v>
      </c>
      <c r="B87" s="6" t="s">
        <v>75</v>
      </c>
      <c r="C87" s="102" t="s">
        <v>187</v>
      </c>
      <c r="D87" s="104"/>
      <c r="E87" s="104"/>
      <c r="F87" s="104"/>
      <c r="G87" s="103"/>
      <c r="H87" s="24">
        <v>1680</v>
      </c>
      <c r="I87" s="102" t="s">
        <v>187</v>
      </c>
      <c r="J87" s="104"/>
      <c r="K87" s="104"/>
      <c r="L87" s="104"/>
      <c r="M87" s="104"/>
      <c r="N87" s="103"/>
      <c r="O87" s="23"/>
      <c r="P87" s="18">
        <f t="shared" si="26"/>
        <v>1680</v>
      </c>
      <c r="Q87" s="6"/>
    </row>
    <row r="88" spans="1:17" x14ac:dyDescent="0.25">
      <c r="A88" s="6">
        <v>6</v>
      </c>
      <c r="B88" s="6" t="s">
        <v>76</v>
      </c>
      <c r="C88" s="24">
        <v>420</v>
      </c>
      <c r="D88" s="102" t="s">
        <v>187</v>
      </c>
      <c r="E88" s="103"/>
      <c r="F88" s="24">
        <v>420</v>
      </c>
      <c r="G88" s="102" t="s">
        <v>187</v>
      </c>
      <c r="H88" s="103"/>
      <c r="I88" s="24">
        <v>420</v>
      </c>
      <c r="J88" s="102" t="s">
        <v>187</v>
      </c>
      <c r="K88" s="103"/>
      <c r="L88" s="24">
        <v>420</v>
      </c>
      <c r="M88" s="102" t="s">
        <v>187</v>
      </c>
      <c r="N88" s="103"/>
      <c r="O88" s="23"/>
      <c r="P88" s="18">
        <f t="shared" si="26"/>
        <v>1680</v>
      </c>
      <c r="Q88" s="24" t="s">
        <v>252</v>
      </c>
    </row>
    <row r="89" spans="1:17" x14ac:dyDescent="0.25">
      <c r="A89" s="6">
        <v>7</v>
      </c>
      <c r="B89" s="6" t="s">
        <v>77</v>
      </c>
      <c r="C89" s="31" t="s">
        <v>187</v>
      </c>
      <c r="D89" s="6">
        <v>1170</v>
      </c>
      <c r="E89" s="95" t="s">
        <v>187</v>
      </c>
      <c r="F89" s="96"/>
      <c r="G89" s="96"/>
      <c r="H89" s="96"/>
      <c r="I89" s="96"/>
      <c r="J89" s="97"/>
      <c r="K89" s="6">
        <v>1170</v>
      </c>
      <c r="L89" s="95" t="s">
        <v>187</v>
      </c>
      <c r="M89" s="96"/>
      <c r="N89" s="97"/>
      <c r="O89" s="23"/>
      <c r="P89" s="18"/>
      <c r="Q89" s="6"/>
    </row>
    <row r="90" spans="1:17" x14ac:dyDescent="0.25">
      <c r="A90" s="6"/>
      <c r="B90" s="6" t="s">
        <v>177</v>
      </c>
      <c r="C90" s="95" t="s">
        <v>187</v>
      </c>
      <c r="D90" s="96"/>
      <c r="E90" s="96"/>
      <c r="F90" s="96"/>
      <c r="G90" s="96"/>
      <c r="H90" s="96"/>
      <c r="I90" s="96"/>
      <c r="J90" s="97"/>
      <c r="K90" s="6">
        <v>3150</v>
      </c>
      <c r="L90" s="95" t="s">
        <v>187</v>
      </c>
      <c r="M90" s="96"/>
      <c r="N90" s="97"/>
      <c r="O90" s="31">
        <v>100</v>
      </c>
      <c r="P90" s="18">
        <f>SUM(D90:O90)</f>
        <v>3250</v>
      </c>
      <c r="Q90" s="6"/>
    </row>
    <row r="91" spans="1:17" x14ac:dyDescent="0.25">
      <c r="A91" s="6">
        <v>8</v>
      </c>
      <c r="B91" s="6" t="s">
        <v>78</v>
      </c>
      <c r="C91" s="31" t="s">
        <v>187</v>
      </c>
      <c r="D91" s="6">
        <v>140</v>
      </c>
      <c r="E91" s="6">
        <v>140</v>
      </c>
      <c r="F91" s="31" t="s">
        <v>187</v>
      </c>
      <c r="G91" s="6">
        <v>140</v>
      </c>
      <c r="H91" s="6">
        <v>140</v>
      </c>
      <c r="I91" s="6">
        <v>140</v>
      </c>
      <c r="J91" s="31" t="s">
        <v>187</v>
      </c>
      <c r="K91" s="6">
        <v>280</v>
      </c>
      <c r="L91" s="95" t="s">
        <v>187</v>
      </c>
      <c r="M91" s="97"/>
      <c r="N91" s="6">
        <v>280</v>
      </c>
      <c r="O91" s="23"/>
      <c r="P91" s="18">
        <f t="shared" si="26"/>
        <v>1260</v>
      </c>
      <c r="Q91" s="6"/>
    </row>
    <row r="92" spans="1:17" x14ac:dyDescent="0.25">
      <c r="A92" s="6">
        <v>9</v>
      </c>
      <c r="B92" s="6" t="s">
        <v>79</v>
      </c>
      <c r="C92" s="6">
        <v>140</v>
      </c>
      <c r="D92" s="6">
        <v>280</v>
      </c>
      <c r="E92" s="31" t="s">
        <v>187</v>
      </c>
      <c r="F92" s="6">
        <v>140</v>
      </c>
      <c r="G92" s="6">
        <v>280</v>
      </c>
      <c r="H92" s="31" t="s">
        <v>187</v>
      </c>
      <c r="I92" s="6">
        <v>140</v>
      </c>
      <c r="J92" s="6">
        <v>140</v>
      </c>
      <c r="K92" s="31" t="s">
        <v>187</v>
      </c>
      <c r="L92" s="6">
        <v>140</v>
      </c>
      <c r="M92" s="31" t="s">
        <v>187</v>
      </c>
      <c r="N92" s="6">
        <v>140</v>
      </c>
      <c r="O92" s="23"/>
      <c r="P92" s="18">
        <f t="shared" si="26"/>
        <v>1400</v>
      </c>
      <c r="Q92" s="6"/>
    </row>
    <row r="93" spans="1:17" x14ac:dyDescent="0.25">
      <c r="A93" s="6">
        <v>10</v>
      </c>
      <c r="B93" s="6" t="s">
        <v>80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23"/>
      <c r="P93" s="18">
        <f t="shared" si="26"/>
        <v>0</v>
      </c>
      <c r="Q93" s="6"/>
    </row>
    <row r="94" spans="1:17" x14ac:dyDescent="0.25">
      <c r="A94" s="6">
        <v>11</v>
      </c>
      <c r="B94" s="6" t="s">
        <v>81</v>
      </c>
      <c r="C94" s="6">
        <v>130</v>
      </c>
      <c r="D94" s="6">
        <v>130</v>
      </c>
      <c r="E94" s="6">
        <v>130</v>
      </c>
      <c r="F94" s="6">
        <v>130</v>
      </c>
      <c r="G94" s="6">
        <v>130</v>
      </c>
      <c r="H94" s="6">
        <v>130</v>
      </c>
      <c r="I94" s="6">
        <v>130</v>
      </c>
      <c r="J94" s="6">
        <v>130</v>
      </c>
      <c r="K94" s="6">
        <v>130</v>
      </c>
      <c r="L94" s="6">
        <v>130</v>
      </c>
      <c r="M94" s="6">
        <v>130</v>
      </c>
      <c r="N94" s="6">
        <v>130</v>
      </c>
      <c r="O94" s="23"/>
      <c r="P94" s="18">
        <f t="shared" si="26"/>
        <v>1560</v>
      </c>
      <c r="Q94" s="6"/>
    </row>
    <row r="95" spans="1:17" x14ac:dyDescent="0.25">
      <c r="A95" s="6">
        <v>12</v>
      </c>
      <c r="B95" s="6" t="s">
        <v>82</v>
      </c>
      <c r="C95" s="95" t="s">
        <v>187</v>
      </c>
      <c r="D95" s="97"/>
      <c r="E95" s="6">
        <v>420</v>
      </c>
      <c r="F95" s="31" t="s">
        <v>187</v>
      </c>
      <c r="G95" s="6">
        <v>420</v>
      </c>
      <c r="H95" s="95" t="s">
        <v>187</v>
      </c>
      <c r="I95" s="97"/>
      <c r="J95" s="6">
        <v>420</v>
      </c>
      <c r="K95" s="31" t="s">
        <v>187</v>
      </c>
      <c r="L95" s="6">
        <v>420</v>
      </c>
      <c r="M95" s="31" t="s">
        <v>187</v>
      </c>
      <c r="N95" s="31" t="s">
        <v>187</v>
      </c>
      <c r="O95" s="23"/>
      <c r="P95" s="18">
        <f t="shared" si="26"/>
        <v>1680</v>
      </c>
      <c r="Q95" s="6"/>
    </row>
    <row r="96" spans="1:17" x14ac:dyDescent="0.25">
      <c r="A96" s="6">
        <v>13</v>
      </c>
      <c r="B96" s="6" t="s">
        <v>83</v>
      </c>
      <c r="C96" s="31" t="s">
        <v>187</v>
      </c>
      <c r="D96" s="6">
        <v>1680</v>
      </c>
      <c r="E96" s="95" t="s">
        <v>187</v>
      </c>
      <c r="F96" s="96"/>
      <c r="G96" s="96"/>
      <c r="H96" s="96"/>
      <c r="I96" s="96"/>
      <c r="J96" s="96"/>
      <c r="K96" s="96"/>
      <c r="L96" s="96"/>
      <c r="M96" s="96"/>
      <c r="N96" s="97"/>
      <c r="O96" s="23"/>
      <c r="P96" s="18">
        <f t="shared" si="26"/>
        <v>1680</v>
      </c>
      <c r="Q96" s="6"/>
    </row>
    <row r="97" spans="1:17" x14ac:dyDescent="0.25">
      <c r="A97" s="6">
        <v>14</v>
      </c>
      <c r="B97" s="6" t="s">
        <v>84</v>
      </c>
      <c r="C97" s="6">
        <v>140</v>
      </c>
      <c r="D97" s="6">
        <v>140</v>
      </c>
      <c r="E97" s="6">
        <v>140</v>
      </c>
      <c r="F97" s="31" t="s">
        <v>187</v>
      </c>
      <c r="G97" s="6">
        <v>140</v>
      </c>
      <c r="H97" s="6">
        <v>280</v>
      </c>
      <c r="I97" s="6">
        <v>140</v>
      </c>
      <c r="J97" s="6">
        <v>140</v>
      </c>
      <c r="K97" s="31" t="s">
        <v>187</v>
      </c>
      <c r="L97" s="6">
        <v>140</v>
      </c>
      <c r="M97" s="31" t="s">
        <v>187</v>
      </c>
      <c r="N97" s="6">
        <v>280</v>
      </c>
      <c r="O97" s="23"/>
      <c r="P97" s="18">
        <f t="shared" si="26"/>
        <v>1540</v>
      </c>
      <c r="Q97" s="6"/>
    </row>
    <row r="98" spans="1:17" x14ac:dyDescent="0.25">
      <c r="A98" s="6">
        <v>15</v>
      </c>
      <c r="B98" s="6" t="s">
        <v>85</v>
      </c>
      <c r="C98" s="95" t="s">
        <v>187</v>
      </c>
      <c r="D98" s="97"/>
      <c r="E98" s="6">
        <v>780</v>
      </c>
      <c r="F98" s="95" t="s">
        <v>187</v>
      </c>
      <c r="G98" s="97"/>
      <c r="H98" s="6">
        <v>390</v>
      </c>
      <c r="I98" s="95" t="s">
        <v>187</v>
      </c>
      <c r="J98" s="97"/>
      <c r="K98" s="6">
        <v>390</v>
      </c>
      <c r="L98" s="95" t="s">
        <v>187</v>
      </c>
      <c r="M98" s="97"/>
      <c r="N98" s="6">
        <v>390</v>
      </c>
      <c r="O98" s="23"/>
      <c r="P98" s="18">
        <f t="shared" si="26"/>
        <v>1950</v>
      </c>
      <c r="Q98" s="6"/>
    </row>
    <row r="99" spans="1:17" x14ac:dyDescent="0.25">
      <c r="A99" s="6">
        <v>16</v>
      </c>
      <c r="B99" s="6" t="s">
        <v>178</v>
      </c>
      <c r="C99" s="31" t="s">
        <v>187</v>
      </c>
      <c r="D99" s="6">
        <v>140</v>
      </c>
      <c r="E99" s="6">
        <v>280</v>
      </c>
      <c r="F99" s="6">
        <v>140</v>
      </c>
      <c r="G99" s="6">
        <v>140</v>
      </c>
      <c r="H99" s="6">
        <v>140</v>
      </c>
      <c r="I99" s="6">
        <v>140</v>
      </c>
      <c r="J99" s="31" t="s">
        <v>187</v>
      </c>
      <c r="K99" s="6">
        <v>140</v>
      </c>
      <c r="L99" s="6">
        <v>140</v>
      </c>
      <c r="M99" s="6">
        <v>140</v>
      </c>
      <c r="N99" s="6">
        <v>140</v>
      </c>
      <c r="O99" s="23"/>
      <c r="P99" s="18">
        <f t="shared" si="26"/>
        <v>1540</v>
      </c>
      <c r="Q99" s="6"/>
    </row>
    <row r="100" spans="1:17" x14ac:dyDescent="0.25">
      <c r="A100" s="6">
        <v>17</v>
      </c>
      <c r="B100" s="6" t="s">
        <v>87</v>
      </c>
      <c r="C100" s="32" t="s">
        <v>187</v>
      </c>
      <c r="D100" s="24">
        <v>420</v>
      </c>
      <c r="E100" s="102" t="s">
        <v>187</v>
      </c>
      <c r="F100" s="104"/>
      <c r="G100" s="103"/>
      <c r="H100" s="24">
        <v>420</v>
      </c>
      <c r="I100" s="102" t="s">
        <v>187</v>
      </c>
      <c r="J100" s="104"/>
      <c r="K100" s="104"/>
      <c r="L100" s="103"/>
      <c r="M100" s="24">
        <v>420</v>
      </c>
      <c r="N100" s="32" t="s">
        <v>187</v>
      </c>
      <c r="O100" s="6"/>
      <c r="P100" s="18">
        <f t="shared" si="26"/>
        <v>1260</v>
      </c>
      <c r="Q100" s="6"/>
    </row>
    <row r="101" spans="1:17" x14ac:dyDescent="0.25">
      <c r="A101" s="6">
        <v>18</v>
      </c>
      <c r="B101" s="6" t="s">
        <v>88</v>
      </c>
      <c r="C101" s="6">
        <v>420</v>
      </c>
      <c r="D101" s="95" t="s">
        <v>187</v>
      </c>
      <c r="E101" s="97"/>
      <c r="F101" s="95" t="s">
        <v>187</v>
      </c>
      <c r="G101" s="97"/>
      <c r="H101" s="6">
        <v>420</v>
      </c>
      <c r="I101" s="31" t="s">
        <v>187</v>
      </c>
      <c r="J101" s="6">
        <v>420</v>
      </c>
      <c r="K101" s="31" t="s">
        <v>187</v>
      </c>
      <c r="L101" s="6">
        <v>420</v>
      </c>
      <c r="M101" s="95" t="s">
        <v>187</v>
      </c>
      <c r="N101" s="97"/>
      <c r="O101" s="23"/>
      <c r="P101" s="18">
        <f t="shared" si="26"/>
        <v>1680</v>
      </c>
      <c r="Q101" s="6"/>
    </row>
    <row r="102" spans="1:17" x14ac:dyDescent="0.25">
      <c r="A102" s="6">
        <v>19</v>
      </c>
      <c r="B102" s="6" t="s">
        <v>89</v>
      </c>
      <c r="C102" s="6">
        <v>130</v>
      </c>
      <c r="D102" s="31" t="s">
        <v>187</v>
      </c>
      <c r="E102" s="6">
        <v>130</v>
      </c>
      <c r="F102" s="6">
        <v>260</v>
      </c>
      <c r="G102" s="6">
        <v>130</v>
      </c>
      <c r="H102" s="31" t="s">
        <v>187</v>
      </c>
      <c r="I102" s="6">
        <v>130</v>
      </c>
      <c r="J102" s="6">
        <v>130</v>
      </c>
      <c r="K102" s="6">
        <v>130</v>
      </c>
      <c r="L102" s="6">
        <v>130</v>
      </c>
      <c r="M102" s="31" t="s">
        <v>187</v>
      </c>
      <c r="N102" s="6">
        <v>130</v>
      </c>
      <c r="O102" s="23"/>
      <c r="P102" s="18">
        <f t="shared" si="26"/>
        <v>1300</v>
      </c>
      <c r="Q102" s="6"/>
    </row>
    <row r="103" spans="1:17" x14ac:dyDescent="0.25">
      <c r="A103" s="6">
        <v>20</v>
      </c>
      <c r="B103" s="6" t="s">
        <v>90</v>
      </c>
      <c r="C103" s="24">
        <v>840</v>
      </c>
      <c r="D103" s="102" t="s">
        <v>187</v>
      </c>
      <c r="E103" s="104"/>
      <c r="F103" s="104"/>
      <c r="G103" s="104"/>
      <c r="H103" s="103"/>
      <c r="I103" s="24"/>
      <c r="J103" s="24">
        <v>840</v>
      </c>
      <c r="K103" s="102" t="s">
        <v>187</v>
      </c>
      <c r="L103" s="104"/>
      <c r="M103" s="104"/>
      <c r="N103" s="103"/>
      <c r="O103" s="23"/>
      <c r="P103" s="18">
        <f t="shared" si="26"/>
        <v>1680</v>
      </c>
      <c r="Q103" s="24" t="s">
        <v>252</v>
      </c>
    </row>
    <row r="104" spans="1:17" ht="15.75" thickBot="1" x14ac:dyDescent="0.3">
      <c r="A104" s="105" t="s">
        <v>169</v>
      </c>
      <c r="B104" s="106"/>
      <c r="C104" s="20">
        <f>SUM(C83:C103)</f>
        <v>2640</v>
      </c>
      <c r="D104" s="20">
        <f t="shared" ref="D104" si="27">SUM(D83:D103)</f>
        <v>4240</v>
      </c>
      <c r="E104" s="20">
        <f t="shared" ref="E104" si="28">SUM(E83:E103)</f>
        <v>2160</v>
      </c>
      <c r="F104" s="20">
        <f t="shared" ref="F104" si="29">SUM(F83:F103)</f>
        <v>1870</v>
      </c>
      <c r="G104" s="20">
        <f t="shared" ref="G104" si="30">SUM(G83:G103)</f>
        <v>3200</v>
      </c>
      <c r="H104" s="20">
        <f>SUM(H83:H103)</f>
        <v>5180</v>
      </c>
      <c r="I104" s="20">
        <f t="shared" ref="I104" si="31">SUM(I83:I103)</f>
        <v>1240</v>
      </c>
      <c r="J104" s="20">
        <f t="shared" ref="J104" si="32">SUM(J83:J103)</f>
        <v>2620</v>
      </c>
      <c r="K104" s="20">
        <f t="shared" ref="K104" si="33">SUM(K83:K103)</f>
        <v>5950</v>
      </c>
      <c r="L104" s="20">
        <f t="shared" ref="L104" si="34">SUM(L83:L103)</f>
        <v>2080</v>
      </c>
      <c r="M104" s="20">
        <f>SUM(M83:M103)</f>
        <v>1080</v>
      </c>
      <c r="N104" s="20">
        <f t="shared" ref="N104" si="35">SUM(N83:N103)</f>
        <v>1490</v>
      </c>
      <c r="O104" s="6"/>
      <c r="P104" s="19">
        <f>SUM(P83:P103)</f>
        <v>31510</v>
      </c>
    </row>
    <row r="105" spans="1:17" ht="15.75" thickTop="1" x14ac:dyDescent="0.25"/>
    <row r="106" spans="1:17" ht="15.75" x14ac:dyDescent="0.25">
      <c r="A106" s="1"/>
      <c r="B106" s="1"/>
      <c r="C106" s="1"/>
      <c r="D106" s="1"/>
      <c r="E106" s="1"/>
      <c r="F106" s="2" t="s">
        <v>0</v>
      </c>
      <c r="G106" s="1"/>
      <c r="H106" s="1"/>
      <c r="I106" s="1"/>
      <c r="J106" s="1"/>
      <c r="K106" s="1"/>
      <c r="L106" s="1"/>
      <c r="M106" s="1"/>
      <c r="N106" s="1"/>
      <c r="O106" s="1"/>
    </row>
    <row r="107" spans="1:17" ht="15.75" x14ac:dyDescent="0.25">
      <c r="A107" s="1"/>
      <c r="B107" s="1"/>
      <c r="C107" s="1"/>
      <c r="D107" s="1"/>
      <c r="E107" s="1"/>
      <c r="F107" s="2"/>
      <c r="G107" s="1"/>
      <c r="H107" s="1"/>
      <c r="I107" s="1"/>
      <c r="J107" s="1"/>
      <c r="K107" s="1"/>
      <c r="L107" s="1"/>
      <c r="M107" s="3" t="s">
        <v>1</v>
      </c>
      <c r="N107" s="4">
        <v>5</v>
      </c>
      <c r="O107" s="4"/>
    </row>
    <row r="108" spans="1:1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3" t="s">
        <v>2</v>
      </c>
      <c r="N108" s="4">
        <v>2022</v>
      </c>
      <c r="O108" s="4"/>
    </row>
    <row r="109" spans="1:17" x14ac:dyDescent="0.25">
      <c r="A109" s="5" t="s">
        <v>3</v>
      </c>
      <c r="B109" s="5" t="s">
        <v>4</v>
      </c>
      <c r="C109" s="5" t="s">
        <v>5</v>
      </c>
      <c r="D109" s="5" t="s">
        <v>6</v>
      </c>
      <c r="E109" s="5" t="s">
        <v>7</v>
      </c>
      <c r="F109" s="5" t="s">
        <v>8</v>
      </c>
      <c r="G109" s="5" t="s">
        <v>9</v>
      </c>
      <c r="H109" s="5" t="s">
        <v>10</v>
      </c>
      <c r="I109" s="5" t="s">
        <v>11</v>
      </c>
      <c r="J109" s="5" t="s">
        <v>12</v>
      </c>
      <c r="K109" s="5" t="s">
        <v>13</v>
      </c>
      <c r="L109" s="5" t="s">
        <v>14</v>
      </c>
      <c r="M109" s="5" t="s">
        <v>15</v>
      </c>
      <c r="N109" s="5" t="s">
        <v>16</v>
      </c>
      <c r="O109" s="5" t="s">
        <v>170</v>
      </c>
      <c r="P109" s="17" t="s">
        <v>169</v>
      </c>
      <c r="Q109" s="5" t="s">
        <v>171</v>
      </c>
    </row>
    <row r="110" spans="1:17" x14ac:dyDescent="0.25">
      <c r="A110" s="6">
        <v>1</v>
      </c>
      <c r="B110" s="6" t="s">
        <v>91</v>
      </c>
      <c r="C110" s="6">
        <v>420</v>
      </c>
      <c r="D110" s="95" t="s">
        <v>187</v>
      </c>
      <c r="E110" s="96"/>
      <c r="F110" s="97"/>
      <c r="G110" s="31" t="s">
        <v>187</v>
      </c>
      <c r="H110" s="6">
        <v>500</v>
      </c>
      <c r="I110" s="6">
        <v>340</v>
      </c>
      <c r="J110" s="95" t="s">
        <v>187</v>
      </c>
      <c r="K110" s="96"/>
      <c r="L110" s="96"/>
      <c r="M110" s="96"/>
      <c r="N110" s="97"/>
      <c r="O110" s="23"/>
      <c r="P110" s="18">
        <f>SUM(C110:O110)</f>
        <v>1260</v>
      </c>
      <c r="Q110" s="6" t="s">
        <v>195</v>
      </c>
    </row>
    <row r="111" spans="1:17" x14ac:dyDescent="0.25">
      <c r="A111" s="6">
        <v>2</v>
      </c>
      <c r="B111" s="6" t="s">
        <v>92</v>
      </c>
      <c r="C111" s="32" t="s">
        <v>187</v>
      </c>
      <c r="D111" s="32">
        <v>700</v>
      </c>
      <c r="E111" s="102" t="s">
        <v>187</v>
      </c>
      <c r="F111" s="104"/>
      <c r="G111" s="103"/>
      <c r="H111" s="24" t="s">
        <v>187</v>
      </c>
      <c r="I111" s="24">
        <v>700</v>
      </c>
      <c r="J111" s="102" t="s">
        <v>187</v>
      </c>
      <c r="K111" s="104"/>
      <c r="L111" s="103"/>
      <c r="M111" s="102" t="s">
        <v>187</v>
      </c>
      <c r="N111" s="103"/>
      <c r="O111" s="24" t="s">
        <v>187</v>
      </c>
      <c r="P111" s="18">
        <f t="shared" ref="P111:P126" si="36">SUM(C111:O111)</f>
        <v>1400</v>
      </c>
      <c r="Q111" s="6" t="s">
        <v>255</v>
      </c>
    </row>
    <row r="112" spans="1:17" x14ac:dyDescent="0.25">
      <c r="A112" s="6">
        <v>3</v>
      </c>
      <c r="B112" s="6" t="s">
        <v>93</v>
      </c>
      <c r="C112" s="25">
        <v>420</v>
      </c>
      <c r="D112" s="36" t="s">
        <v>187</v>
      </c>
      <c r="E112" s="37">
        <v>420</v>
      </c>
      <c r="F112" s="99" t="s">
        <v>187</v>
      </c>
      <c r="G112" s="100"/>
      <c r="H112" s="101"/>
      <c r="I112" s="99" t="s">
        <v>187</v>
      </c>
      <c r="J112" s="101"/>
      <c r="K112" s="25">
        <v>840</v>
      </c>
      <c r="L112" s="99" t="s">
        <v>187</v>
      </c>
      <c r="M112" s="100"/>
      <c r="N112" s="101"/>
      <c r="O112" s="25">
        <v>100</v>
      </c>
      <c r="P112" s="18">
        <f>SUM(D112:O112)</f>
        <v>1360</v>
      </c>
      <c r="Q112" s="25" t="s">
        <v>254</v>
      </c>
    </row>
    <row r="113" spans="1:17" x14ac:dyDescent="0.25">
      <c r="A113" s="6">
        <v>4</v>
      </c>
      <c r="B113" s="6" t="s">
        <v>94</v>
      </c>
      <c r="C113" s="6">
        <v>280</v>
      </c>
      <c r="D113" s="6">
        <v>280</v>
      </c>
      <c r="E113" s="31" t="s">
        <v>187</v>
      </c>
      <c r="F113" s="31" t="s">
        <v>187</v>
      </c>
      <c r="G113" s="6">
        <v>280</v>
      </c>
      <c r="H113" s="6"/>
      <c r="I113" s="6">
        <v>280</v>
      </c>
      <c r="J113" s="6" t="s">
        <v>187</v>
      </c>
      <c r="K113" s="95" t="s">
        <v>187</v>
      </c>
      <c r="L113" s="96"/>
      <c r="M113" s="97"/>
      <c r="N113" s="6">
        <v>420</v>
      </c>
      <c r="O113" s="23"/>
      <c r="P113" s="18">
        <f t="shared" si="36"/>
        <v>1540</v>
      </c>
      <c r="Q113" s="6" t="s">
        <v>196</v>
      </c>
    </row>
    <row r="114" spans="1:17" x14ac:dyDescent="0.25">
      <c r="A114" s="6">
        <v>5</v>
      </c>
      <c r="B114" s="6" t="s">
        <v>95</v>
      </c>
      <c r="C114" s="31" t="s">
        <v>187</v>
      </c>
      <c r="D114" s="31" t="s">
        <v>187</v>
      </c>
      <c r="E114" s="6">
        <v>420</v>
      </c>
      <c r="F114" s="95" t="s">
        <v>187</v>
      </c>
      <c r="G114" s="97"/>
      <c r="H114" s="6">
        <v>700</v>
      </c>
      <c r="I114" s="31" t="s">
        <v>187</v>
      </c>
      <c r="J114" s="6">
        <v>140</v>
      </c>
      <c r="K114" s="29">
        <v>280</v>
      </c>
      <c r="L114" s="95" t="s">
        <v>187</v>
      </c>
      <c r="M114" s="97"/>
      <c r="N114" s="6">
        <v>280</v>
      </c>
      <c r="O114" s="6" t="s">
        <v>187</v>
      </c>
      <c r="P114" s="18">
        <f t="shared" si="36"/>
        <v>1820</v>
      </c>
      <c r="Q114" s="6" t="s">
        <v>197</v>
      </c>
    </row>
    <row r="115" spans="1:17" x14ac:dyDescent="0.25">
      <c r="A115" s="6">
        <v>6</v>
      </c>
      <c r="B115" s="6" t="s">
        <v>96</v>
      </c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23"/>
      <c r="P115" s="18">
        <f t="shared" si="36"/>
        <v>0</v>
      </c>
      <c r="Q115" s="6" t="s">
        <v>180</v>
      </c>
    </row>
    <row r="116" spans="1:17" x14ac:dyDescent="0.25">
      <c r="A116" s="6">
        <v>7</v>
      </c>
      <c r="B116" s="6" t="s">
        <v>97</v>
      </c>
      <c r="C116" s="95" t="s">
        <v>187</v>
      </c>
      <c r="D116" s="96"/>
      <c r="E116" s="97"/>
      <c r="F116" s="6">
        <v>980</v>
      </c>
      <c r="G116" s="95" t="s">
        <v>187</v>
      </c>
      <c r="H116" s="96"/>
      <c r="I116" s="96"/>
      <c r="J116" s="96"/>
      <c r="K116" s="96"/>
      <c r="L116" s="96"/>
      <c r="M116" s="97"/>
      <c r="N116" s="6">
        <v>1260</v>
      </c>
      <c r="O116" s="31">
        <v>50</v>
      </c>
      <c r="P116" s="18">
        <f t="shared" si="36"/>
        <v>2290</v>
      </c>
      <c r="Q116" s="6"/>
    </row>
    <row r="117" spans="1:17" x14ac:dyDescent="0.25">
      <c r="A117" s="6">
        <v>8</v>
      </c>
      <c r="B117" s="6" t="s">
        <v>266</v>
      </c>
      <c r="C117" s="6">
        <v>840</v>
      </c>
      <c r="D117" s="95" t="s">
        <v>187</v>
      </c>
      <c r="E117" s="96"/>
      <c r="F117" s="96"/>
      <c r="G117" s="96"/>
      <c r="H117" s="97"/>
      <c r="I117" s="6">
        <v>840</v>
      </c>
      <c r="J117" s="95" t="s">
        <v>187</v>
      </c>
      <c r="K117" s="96"/>
      <c r="L117" s="96"/>
      <c r="M117" s="96"/>
      <c r="N117" s="97"/>
      <c r="O117" s="31">
        <v>50</v>
      </c>
      <c r="P117" s="18">
        <f t="shared" si="36"/>
        <v>1730</v>
      </c>
      <c r="Q117" s="6"/>
    </row>
    <row r="118" spans="1:17" x14ac:dyDescent="0.25">
      <c r="A118" s="6">
        <v>9</v>
      </c>
      <c r="B118" s="6" t="s">
        <v>98</v>
      </c>
      <c r="C118" s="32" t="s">
        <v>187</v>
      </c>
      <c r="D118" s="24">
        <v>1680</v>
      </c>
      <c r="E118" s="102" t="s">
        <v>187</v>
      </c>
      <c r="F118" s="104"/>
      <c r="G118" s="104"/>
      <c r="H118" s="104"/>
      <c r="I118" s="104"/>
      <c r="J118" s="104"/>
      <c r="K118" s="104"/>
      <c r="L118" s="104"/>
      <c r="M118" s="104"/>
      <c r="N118" s="103"/>
      <c r="O118" s="24">
        <v>50</v>
      </c>
      <c r="P118" s="18">
        <f t="shared" si="36"/>
        <v>1730</v>
      </c>
      <c r="Q118" s="24" t="s">
        <v>252</v>
      </c>
    </row>
    <row r="119" spans="1:17" x14ac:dyDescent="0.25">
      <c r="A119" s="6">
        <v>10</v>
      </c>
      <c r="B119" s="6" t="s">
        <v>99</v>
      </c>
      <c r="C119" s="6">
        <v>1680</v>
      </c>
      <c r="D119" s="95" t="s">
        <v>187</v>
      </c>
      <c r="E119" s="96"/>
      <c r="F119" s="96"/>
      <c r="G119" s="96"/>
      <c r="H119" s="96"/>
      <c r="I119" s="96"/>
      <c r="J119" s="96"/>
      <c r="K119" s="96"/>
      <c r="L119" s="96"/>
      <c r="M119" s="97"/>
      <c r="N119" s="31" t="s">
        <v>187</v>
      </c>
      <c r="O119" s="23"/>
      <c r="P119" s="18">
        <f t="shared" si="36"/>
        <v>1680</v>
      </c>
      <c r="Q119" s="6"/>
    </row>
    <row r="120" spans="1:17" x14ac:dyDescent="0.25">
      <c r="A120" s="6">
        <v>11</v>
      </c>
      <c r="B120" s="6" t="s">
        <v>100</v>
      </c>
      <c r="C120" s="6">
        <v>280</v>
      </c>
      <c r="D120" s="6">
        <v>140</v>
      </c>
      <c r="E120" s="31" t="s">
        <v>187</v>
      </c>
      <c r="F120" s="6">
        <v>140</v>
      </c>
      <c r="G120" s="6">
        <v>140</v>
      </c>
      <c r="H120" s="6">
        <v>140</v>
      </c>
      <c r="I120" s="6">
        <v>140</v>
      </c>
      <c r="J120" s="6">
        <v>140</v>
      </c>
      <c r="K120" s="6">
        <v>140</v>
      </c>
      <c r="L120" s="6">
        <v>140</v>
      </c>
      <c r="M120" s="6">
        <v>140</v>
      </c>
      <c r="N120" s="31" t="s">
        <v>187</v>
      </c>
      <c r="O120" s="23"/>
      <c r="P120" s="18">
        <f t="shared" si="36"/>
        <v>1540</v>
      </c>
      <c r="Q120" s="6"/>
    </row>
    <row r="121" spans="1:17" x14ac:dyDescent="0.25">
      <c r="A121" s="6">
        <v>12</v>
      </c>
      <c r="B121" s="6" t="s">
        <v>189</v>
      </c>
      <c r="C121" s="31" t="s">
        <v>187</v>
      </c>
      <c r="D121" s="31" t="s">
        <v>187</v>
      </c>
      <c r="E121" s="6">
        <v>560</v>
      </c>
      <c r="F121" s="95" t="s">
        <v>187</v>
      </c>
      <c r="G121" s="97"/>
      <c r="H121">
        <v>420</v>
      </c>
      <c r="I121" s="95" t="s">
        <v>187</v>
      </c>
      <c r="J121" s="96"/>
      <c r="K121" s="96"/>
      <c r="L121" s="96"/>
      <c r="M121" s="96"/>
      <c r="N121" s="97"/>
      <c r="O121" s="31"/>
      <c r="P121" s="18">
        <f t="shared" si="36"/>
        <v>980</v>
      </c>
      <c r="Q121" s="6" t="s">
        <v>188</v>
      </c>
    </row>
    <row r="122" spans="1:17" x14ac:dyDescent="0.25">
      <c r="A122" s="6">
        <v>13</v>
      </c>
      <c r="B122" s="6" t="s">
        <v>101</v>
      </c>
      <c r="C122" s="6">
        <v>300</v>
      </c>
      <c r="D122" s="6">
        <v>150</v>
      </c>
      <c r="E122" s="31" t="s">
        <v>187</v>
      </c>
      <c r="F122" s="6">
        <v>150</v>
      </c>
      <c r="G122" s="31" t="s">
        <v>187</v>
      </c>
      <c r="H122" s="6">
        <v>600</v>
      </c>
      <c r="I122" s="6">
        <v>150</v>
      </c>
      <c r="J122" s="31" t="s">
        <v>187</v>
      </c>
      <c r="K122" s="6">
        <v>300</v>
      </c>
      <c r="L122" s="6">
        <v>150</v>
      </c>
      <c r="M122" s="95" t="s">
        <v>187</v>
      </c>
      <c r="N122" s="97"/>
      <c r="O122" s="31" t="s">
        <v>187</v>
      </c>
      <c r="P122" s="18">
        <f t="shared" si="36"/>
        <v>1800</v>
      </c>
      <c r="Q122" s="6"/>
    </row>
    <row r="123" spans="1:17" x14ac:dyDescent="0.25">
      <c r="A123" s="6">
        <v>14</v>
      </c>
      <c r="B123" s="6" t="s">
        <v>102</v>
      </c>
      <c r="C123" s="6">
        <v>140</v>
      </c>
      <c r="D123" s="6">
        <v>140</v>
      </c>
      <c r="E123" s="6">
        <v>140</v>
      </c>
      <c r="F123" s="6">
        <v>140</v>
      </c>
      <c r="G123" s="6">
        <v>140</v>
      </c>
      <c r="H123" s="6">
        <v>140</v>
      </c>
      <c r="I123" s="6">
        <v>140</v>
      </c>
      <c r="J123" s="6">
        <v>140</v>
      </c>
      <c r="K123" s="6">
        <v>140</v>
      </c>
      <c r="L123" s="6">
        <v>140</v>
      </c>
      <c r="M123" s="6">
        <v>140</v>
      </c>
      <c r="N123" s="6">
        <v>140</v>
      </c>
      <c r="O123" s="31" t="s">
        <v>187</v>
      </c>
      <c r="P123" s="18">
        <f t="shared" si="36"/>
        <v>1680</v>
      </c>
      <c r="Q123" s="6"/>
    </row>
    <row r="124" spans="1:17" x14ac:dyDescent="0.25">
      <c r="A124" s="6">
        <v>15</v>
      </c>
      <c r="B124" s="6" t="s">
        <v>103</v>
      </c>
      <c r="C124" s="6">
        <v>140</v>
      </c>
      <c r="D124" s="6">
        <v>140</v>
      </c>
      <c r="E124" s="6">
        <v>140</v>
      </c>
      <c r="F124" s="6">
        <v>140</v>
      </c>
      <c r="G124" s="31" t="s">
        <v>187</v>
      </c>
      <c r="H124" s="34">
        <v>140</v>
      </c>
      <c r="I124" s="6">
        <v>140</v>
      </c>
      <c r="J124" s="6">
        <v>280</v>
      </c>
      <c r="K124" s="6">
        <v>140</v>
      </c>
      <c r="L124" s="6">
        <v>140</v>
      </c>
      <c r="M124" s="6">
        <v>280</v>
      </c>
      <c r="N124" s="31"/>
      <c r="O124" s="23"/>
      <c r="P124" s="18">
        <f t="shared" si="36"/>
        <v>1680</v>
      </c>
      <c r="Q124" s="6"/>
    </row>
    <row r="125" spans="1:17" x14ac:dyDescent="0.25">
      <c r="A125" s="6">
        <v>16</v>
      </c>
      <c r="B125" s="6" t="s">
        <v>104</v>
      </c>
      <c r="C125" s="6">
        <v>150</v>
      </c>
      <c r="D125" s="31" t="s">
        <v>187</v>
      </c>
      <c r="E125" s="6">
        <v>450</v>
      </c>
      <c r="F125" s="95" t="s">
        <v>187</v>
      </c>
      <c r="G125" s="97"/>
      <c r="H125" s="6">
        <v>450</v>
      </c>
      <c r="I125" s="6">
        <v>150</v>
      </c>
      <c r="J125" s="6">
        <v>150</v>
      </c>
      <c r="K125" s="6">
        <v>150</v>
      </c>
      <c r="L125" s="6">
        <v>300</v>
      </c>
      <c r="M125" s="6">
        <v>150</v>
      </c>
      <c r="N125" s="6">
        <v>150</v>
      </c>
      <c r="O125" s="31">
        <v>200</v>
      </c>
      <c r="P125" s="18">
        <f t="shared" si="36"/>
        <v>2300</v>
      </c>
      <c r="Q125" s="6"/>
    </row>
    <row r="126" spans="1:17" x14ac:dyDescent="0.25">
      <c r="A126" s="6">
        <v>17</v>
      </c>
      <c r="B126" s="6" t="s">
        <v>181</v>
      </c>
      <c r="C126" s="32" t="s">
        <v>187</v>
      </c>
      <c r="D126" s="24">
        <v>900</v>
      </c>
      <c r="E126" s="102" t="s">
        <v>187</v>
      </c>
      <c r="F126" s="104"/>
      <c r="G126" s="104"/>
      <c r="H126" s="103"/>
      <c r="I126" s="35">
        <v>900</v>
      </c>
      <c r="J126" s="104" t="s">
        <v>187</v>
      </c>
      <c r="K126" s="104"/>
      <c r="L126" s="104"/>
      <c r="M126" s="104"/>
      <c r="N126" s="104"/>
      <c r="O126" s="24">
        <v>50</v>
      </c>
      <c r="P126" s="18">
        <f t="shared" si="36"/>
        <v>1850</v>
      </c>
      <c r="Q126" s="6" t="s">
        <v>255</v>
      </c>
    </row>
    <row r="127" spans="1:17" ht="15.75" thickBot="1" x14ac:dyDescent="0.3">
      <c r="A127" s="105" t="s">
        <v>169</v>
      </c>
      <c r="B127" s="106"/>
      <c r="C127" s="20">
        <f>SUM(C107:C126)</f>
        <v>4650</v>
      </c>
      <c r="D127" s="20">
        <f t="shared" ref="D127" si="37">SUM(D107:D126)</f>
        <v>4130</v>
      </c>
      <c r="E127" s="20">
        <f t="shared" ref="E127" si="38">SUM(E107:E126)</f>
        <v>2130</v>
      </c>
      <c r="F127" s="20">
        <f t="shared" ref="F127" si="39">SUM(F107:F126)</f>
        <v>1550</v>
      </c>
      <c r="G127" s="20">
        <f t="shared" ref="G127" si="40">SUM(G107:G126)</f>
        <v>560</v>
      </c>
      <c r="H127" s="20">
        <f t="shared" ref="H127" si="41">SUM(H107:H126)</f>
        <v>3090</v>
      </c>
      <c r="I127" s="20">
        <f t="shared" ref="I127" si="42">SUM(I107:I126)</f>
        <v>3780</v>
      </c>
      <c r="J127" s="20">
        <f t="shared" ref="J127" si="43">SUM(J107:J126)</f>
        <v>850</v>
      </c>
      <c r="K127" s="20">
        <f t="shared" ref="K127" si="44">SUM(K107:K126)</f>
        <v>1990</v>
      </c>
      <c r="L127" s="20">
        <f t="shared" ref="L127" si="45">SUM(L107:L126)</f>
        <v>870</v>
      </c>
      <c r="M127" s="20">
        <f t="shared" ref="M127" si="46">SUM(M107:M126)</f>
        <v>710</v>
      </c>
      <c r="N127" s="20">
        <f t="shared" ref="N127" si="47">SUM(N107:N126)</f>
        <v>4277</v>
      </c>
      <c r="O127" s="6"/>
      <c r="P127" s="19">
        <f>SUM(P110:P126)</f>
        <v>26640</v>
      </c>
      <c r="Q127" s="6"/>
    </row>
    <row r="128" spans="1:17" ht="15.75" thickTop="1" x14ac:dyDescent="0.25"/>
    <row r="129" spans="1:17" ht="15.75" x14ac:dyDescent="0.25">
      <c r="A129" s="1"/>
      <c r="B129" s="1"/>
      <c r="C129" s="1"/>
      <c r="D129" s="1"/>
      <c r="E129" s="1"/>
      <c r="F129" s="2" t="s">
        <v>0</v>
      </c>
      <c r="G129" s="1"/>
      <c r="H129" s="1"/>
      <c r="I129" s="1"/>
      <c r="J129" s="1"/>
      <c r="K129" s="1"/>
      <c r="L129" s="1"/>
      <c r="M129" s="1"/>
      <c r="N129" s="1"/>
      <c r="O129" s="1"/>
    </row>
    <row r="130" spans="1:17" ht="15.75" x14ac:dyDescent="0.25">
      <c r="A130" s="1"/>
      <c r="B130" s="1"/>
      <c r="C130" s="1"/>
      <c r="D130" s="1"/>
      <c r="E130" s="1"/>
      <c r="F130" s="2"/>
      <c r="G130" s="1"/>
      <c r="H130" s="1"/>
      <c r="I130" s="1"/>
      <c r="J130" s="1"/>
      <c r="K130" s="1"/>
      <c r="L130" s="107" t="s">
        <v>1</v>
      </c>
      <c r="M130" s="107"/>
      <c r="N130" s="4">
        <v>6</v>
      </c>
      <c r="O130" s="4"/>
    </row>
    <row r="131" spans="1:1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07" t="s">
        <v>2</v>
      </c>
      <c r="M131" s="107"/>
      <c r="N131" s="4">
        <v>2022</v>
      </c>
      <c r="O131" s="4"/>
    </row>
    <row r="132" spans="1:17" x14ac:dyDescent="0.25">
      <c r="A132" s="5" t="s">
        <v>3</v>
      </c>
      <c r="B132" s="5" t="s">
        <v>4</v>
      </c>
      <c r="C132" s="5" t="s">
        <v>5</v>
      </c>
      <c r="D132" s="5" t="s">
        <v>6</v>
      </c>
      <c r="E132" s="5" t="s">
        <v>7</v>
      </c>
      <c r="F132" s="5" t="s">
        <v>8</v>
      </c>
      <c r="G132" s="5" t="s">
        <v>9</v>
      </c>
      <c r="H132" s="5" t="s">
        <v>10</v>
      </c>
      <c r="I132" s="5" t="s">
        <v>11</v>
      </c>
      <c r="J132" s="5" t="s">
        <v>12</v>
      </c>
      <c r="K132" s="5" t="s">
        <v>13</v>
      </c>
      <c r="L132" s="5" t="s">
        <v>14</v>
      </c>
      <c r="M132" s="5" t="s">
        <v>15</v>
      </c>
      <c r="N132" s="5" t="s">
        <v>16</v>
      </c>
      <c r="O132" s="5" t="s">
        <v>170</v>
      </c>
      <c r="P132" s="17" t="s">
        <v>169</v>
      </c>
      <c r="Q132" s="5" t="s">
        <v>171</v>
      </c>
    </row>
    <row r="133" spans="1:17" x14ac:dyDescent="0.25">
      <c r="A133" s="6">
        <v>1</v>
      </c>
      <c r="B133" s="6" t="s">
        <v>106</v>
      </c>
      <c r="C133" s="25">
        <v>140</v>
      </c>
      <c r="D133" s="25">
        <v>140</v>
      </c>
      <c r="E133" s="25">
        <v>140</v>
      </c>
      <c r="F133" s="25">
        <v>140</v>
      </c>
      <c r="G133" s="25">
        <v>140</v>
      </c>
      <c r="H133" s="25">
        <v>140</v>
      </c>
      <c r="I133" s="25">
        <v>140</v>
      </c>
      <c r="J133" s="25">
        <v>140</v>
      </c>
      <c r="K133" s="25">
        <v>140</v>
      </c>
      <c r="L133" s="25">
        <v>140</v>
      </c>
      <c r="M133" s="25">
        <v>140</v>
      </c>
      <c r="N133" s="25">
        <v>140</v>
      </c>
      <c r="O133" s="23"/>
      <c r="P133" s="18">
        <f t="shared" ref="P133:P149" si="48">SUM(C133:O133)</f>
        <v>1680</v>
      </c>
      <c r="Q133" s="6" t="s">
        <v>179</v>
      </c>
    </row>
    <row r="134" spans="1:17" x14ac:dyDescent="0.25">
      <c r="A134" s="6">
        <v>2</v>
      </c>
      <c r="B134" s="6" t="s">
        <v>107</v>
      </c>
      <c r="C134" s="24" t="s">
        <v>187</v>
      </c>
      <c r="D134" s="24">
        <v>500</v>
      </c>
      <c r="E134" s="24">
        <v>500</v>
      </c>
      <c r="F134" s="24">
        <v>500</v>
      </c>
      <c r="G134" s="21">
        <v>500</v>
      </c>
      <c r="H134" s="32" t="s">
        <v>187</v>
      </c>
      <c r="I134" s="24">
        <v>500</v>
      </c>
      <c r="J134" s="102" t="s">
        <v>187</v>
      </c>
      <c r="K134" s="103"/>
      <c r="L134" s="31" t="s">
        <v>187</v>
      </c>
      <c r="M134" s="6">
        <v>400</v>
      </c>
      <c r="N134" s="31" t="s">
        <v>187</v>
      </c>
      <c r="O134" s="23"/>
      <c r="P134" s="18">
        <f t="shared" si="48"/>
        <v>2900</v>
      </c>
      <c r="Q134" s="6" t="s">
        <v>182</v>
      </c>
    </row>
    <row r="135" spans="1:17" x14ac:dyDescent="0.25">
      <c r="A135" s="6">
        <v>3</v>
      </c>
      <c r="B135" s="6" t="s">
        <v>108</v>
      </c>
      <c r="C135" s="6">
        <v>140</v>
      </c>
      <c r="D135" s="6">
        <v>140</v>
      </c>
      <c r="E135" s="6">
        <v>140</v>
      </c>
      <c r="F135" s="6">
        <v>140</v>
      </c>
      <c r="G135" s="6">
        <v>280</v>
      </c>
      <c r="H135" s="31" t="s">
        <v>187</v>
      </c>
      <c r="I135" s="6">
        <v>140</v>
      </c>
      <c r="J135" s="6">
        <v>140</v>
      </c>
      <c r="K135" s="6">
        <v>140</v>
      </c>
      <c r="L135" s="6">
        <v>140</v>
      </c>
      <c r="M135" s="6">
        <v>140</v>
      </c>
      <c r="N135" s="6">
        <v>140</v>
      </c>
      <c r="O135" s="23"/>
      <c r="P135" s="18">
        <f t="shared" si="48"/>
        <v>1680</v>
      </c>
      <c r="Q135" s="6"/>
    </row>
    <row r="136" spans="1:17" x14ac:dyDescent="0.25">
      <c r="A136" s="6">
        <v>4</v>
      </c>
      <c r="B136" s="6" t="s">
        <v>109</v>
      </c>
      <c r="C136" s="6">
        <v>700</v>
      </c>
      <c r="D136" s="95" t="s">
        <v>187</v>
      </c>
      <c r="E136" s="96"/>
      <c r="F136" s="97"/>
      <c r="G136" s="6">
        <v>700</v>
      </c>
      <c r="H136" s="95" t="s">
        <v>187</v>
      </c>
      <c r="I136" s="96"/>
      <c r="J136" s="96"/>
      <c r="K136" s="96"/>
      <c r="L136" s="96"/>
      <c r="M136" s="97"/>
      <c r="N136" s="6">
        <v>980</v>
      </c>
      <c r="O136" s="23"/>
      <c r="P136" s="18">
        <f t="shared" si="48"/>
        <v>2380</v>
      </c>
      <c r="Q136" s="6"/>
    </row>
    <row r="137" spans="1:17" x14ac:dyDescent="0.25">
      <c r="A137" s="6">
        <v>5</v>
      </c>
      <c r="B137" s="6" t="s">
        <v>110</v>
      </c>
      <c r="C137" s="6">
        <v>980</v>
      </c>
      <c r="D137" s="31" t="s">
        <v>187</v>
      </c>
      <c r="E137" s="95" t="s">
        <v>187</v>
      </c>
      <c r="F137" s="96"/>
      <c r="G137" s="96"/>
      <c r="H137" s="96"/>
      <c r="I137" s="96"/>
      <c r="J137" s="96"/>
      <c r="K137" s="96"/>
      <c r="L137" s="97"/>
      <c r="M137" s="6">
        <v>1400</v>
      </c>
      <c r="N137" s="31" t="s">
        <v>187</v>
      </c>
      <c r="O137" s="23"/>
      <c r="P137" s="18">
        <f t="shared" si="48"/>
        <v>2380</v>
      </c>
      <c r="Q137" s="6"/>
    </row>
    <row r="138" spans="1:17" x14ac:dyDescent="0.25">
      <c r="A138" s="6">
        <v>6</v>
      </c>
      <c r="B138" s="6" t="s">
        <v>199</v>
      </c>
      <c r="C138" s="6">
        <v>140</v>
      </c>
      <c r="D138" s="31" t="s">
        <v>187</v>
      </c>
      <c r="E138" s="6">
        <v>140</v>
      </c>
      <c r="F138" s="6">
        <v>140</v>
      </c>
      <c r="G138" s="6">
        <v>280</v>
      </c>
      <c r="H138" s="33" t="s">
        <v>187</v>
      </c>
      <c r="I138" s="34">
        <v>300</v>
      </c>
      <c r="J138" s="31" t="s">
        <v>187</v>
      </c>
      <c r="K138" s="6">
        <v>140</v>
      </c>
      <c r="L138" s="31" t="s">
        <v>187</v>
      </c>
      <c r="M138" s="6">
        <v>140</v>
      </c>
      <c r="N138" s="31" t="s">
        <v>187</v>
      </c>
      <c r="O138" s="6" t="s">
        <v>187</v>
      </c>
      <c r="P138" s="18">
        <f t="shared" si="48"/>
        <v>1280</v>
      </c>
      <c r="Q138" s="6" t="s">
        <v>200</v>
      </c>
    </row>
    <row r="139" spans="1:17" x14ac:dyDescent="0.25">
      <c r="A139" s="6">
        <v>7</v>
      </c>
      <c r="B139" s="6" t="s">
        <v>111</v>
      </c>
      <c r="C139" s="6">
        <v>140</v>
      </c>
      <c r="D139" s="6">
        <v>420</v>
      </c>
      <c r="E139" s="6">
        <v>140</v>
      </c>
      <c r="F139" s="6">
        <v>140</v>
      </c>
      <c r="G139" s="6">
        <v>140</v>
      </c>
      <c r="H139" s="6">
        <v>140</v>
      </c>
      <c r="I139" s="6">
        <v>140</v>
      </c>
      <c r="J139" s="6">
        <v>140</v>
      </c>
      <c r="K139" s="6">
        <v>140</v>
      </c>
      <c r="L139" s="6">
        <v>140</v>
      </c>
      <c r="M139" s="6">
        <v>140</v>
      </c>
      <c r="N139" s="6">
        <v>140</v>
      </c>
      <c r="O139" s="23"/>
      <c r="P139" s="18">
        <f t="shared" si="48"/>
        <v>1960</v>
      </c>
      <c r="Q139" s="6"/>
    </row>
    <row r="140" spans="1:17" x14ac:dyDescent="0.25">
      <c r="A140" s="6">
        <v>8</v>
      </c>
      <c r="B140" s="6" t="s">
        <v>112</v>
      </c>
      <c r="C140" s="25">
        <v>140</v>
      </c>
      <c r="D140" s="25">
        <v>140</v>
      </c>
      <c r="E140" s="25">
        <v>140</v>
      </c>
      <c r="F140" s="25">
        <v>140</v>
      </c>
      <c r="G140" s="25">
        <v>140</v>
      </c>
      <c r="H140" s="25">
        <v>140</v>
      </c>
      <c r="I140" s="25">
        <v>140</v>
      </c>
      <c r="J140" s="25">
        <v>140</v>
      </c>
      <c r="K140" s="25">
        <v>140</v>
      </c>
      <c r="L140" s="25">
        <v>140</v>
      </c>
      <c r="M140" s="25">
        <v>140</v>
      </c>
      <c r="N140" s="25">
        <v>140</v>
      </c>
      <c r="O140" s="31">
        <v>150</v>
      </c>
      <c r="P140" s="18">
        <f t="shared" si="48"/>
        <v>1830</v>
      </c>
      <c r="Q140" s="6" t="s">
        <v>179</v>
      </c>
    </row>
    <row r="141" spans="1:17" x14ac:dyDescent="0.25">
      <c r="A141" s="6">
        <v>9</v>
      </c>
      <c r="B141" s="6" t="s">
        <v>113</v>
      </c>
      <c r="C141" s="6">
        <v>1680</v>
      </c>
      <c r="D141" s="95" t="s">
        <v>187</v>
      </c>
      <c r="E141" s="96"/>
      <c r="F141" s="96"/>
      <c r="G141" s="96"/>
      <c r="H141" s="96"/>
      <c r="I141" s="96"/>
      <c r="J141" s="96"/>
      <c r="K141" s="96"/>
      <c r="L141" s="96"/>
      <c r="M141" s="96"/>
      <c r="N141" s="97"/>
      <c r="O141" s="23"/>
      <c r="P141" s="18">
        <f t="shared" si="48"/>
        <v>1680</v>
      </c>
      <c r="Q141" s="6"/>
    </row>
    <row r="142" spans="1:17" x14ac:dyDescent="0.25">
      <c r="A142" s="6">
        <v>10</v>
      </c>
      <c r="B142" s="6" t="s">
        <v>437</v>
      </c>
      <c r="C142" s="95" t="s">
        <v>187</v>
      </c>
      <c r="D142" s="97"/>
      <c r="E142" s="6">
        <v>960</v>
      </c>
      <c r="F142" s="95" t="s">
        <v>187</v>
      </c>
      <c r="G142" s="96"/>
      <c r="H142" s="96"/>
      <c r="I142" s="96"/>
      <c r="J142" s="96"/>
      <c r="K142" s="96"/>
      <c r="L142" s="96"/>
      <c r="M142" s="96"/>
      <c r="N142" s="97"/>
      <c r="O142" s="31" t="s">
        <v>187</v>
      </c>
      <c r="P142" s="18">
        <f t="shared" si="48"/>
        <v>960</v>
      </c>
      <c r="Q142" s="6"/>
    </row>
    <row r="143" spans="1:17" x14ac:dyDescent="0.25">
      <c r="A143" s="6">
        <v>11</v>
      </c>
      <c r="B143" s="6" t="s">
        <v>114</v>
      </c>
      <c r="C143" s="32" t="s">
        <v>187</v>
      </c>
      <c r="D143" s="24">
        <v>400</v>
      </c>
      <c r="E143" s="32">
        <v>840</v>
      </c>
      <c r="F143" s="102" t="s">
        <v>187</v>
      </c>
      <c r="G143" s="104"/>
      <c r="H143" s="104"/>
      <c r="I143" s="104"/>
      <c r="J143" s="103"/>
      <c r="K143" s="24">
        <v>420</v>
      </c>
      <c r="L143" s="102" t="s">
        <v>187</v>
      </c>
      <c r="M143" s="104"/>
      <c r="N143" s="38">
        <v>840</v>
      </c>
      <c r="O143" s="23"/>
      <c r="P143" s="18">
        <f t="shared" si="48"/>
        <v>2500</v>
      </c>
      <c r="Q143" s="6"/>
    </row>
    <row r="144" spans="1:17" x14ac:dyDescent="0.25">
      <c r="A144" s="6">
        <v>12</v>
      </c>
      <c r="B144" s="6" t="s">
        <v>115</v>
      </c>
      <c r="C144" s="6">
        <v>140</v>
      </c>
      <c r="D144" s="6">
        <v>1400</v>
      </c>
      <c r="E144" s="6">
        <v>140</v>
      </c>
      <c r="F144" s="6">
        <v>140</v>
      </c>
      <c r="G144" s="6">
        <v>140</v>
      </c>
      <c r="H144" s="6">
        <v>140</v>
      </c>
      <c r="I144" s="6">
        <v>140</v>
      </c>
      <c r="J144" s="6">
        <v>140</v>
      </c>
      <c r="K144" s="95" t="s">
        <v>187</v>
      </c>
      <c r="L144" s="97"/>
      <c r="M144" s="6">
        <v>640</v>
      </c>
      <c r="N144" s="31" t="s">
        <v>187</v>
      </c>
      <c r="O144" s="23"/>
      <c r="P144" s="18">
        <f t="shared" si="48"/>
        <v>3020</v>
      </c>
      <c r="Q144" s="6"/>
    </row>
    <row r="145" spans="1:17" x14ac:dyDescent="0.25">
      <c r="A145" s="6">
        <v>13</v>
      </c>
      <c r="B145" s="6" t="s">
        <v>116</v>
      </c>
      <c r="C145" s="31" t="s">
        <v>187</v>
      </c>
      <c r="D145" s="6">
        <v>300</v>
      </c>
      <c r="E145" s="6">
        <v>300</v>
      </c>
      <c r="F145" s="31" t="s">
        <v>187</v>
      </c>
      <c r="G145" s="6">
        <v>300</v>
      </c>
      <c r="H145" s="31">
        <v>300</v>
      </c>
      <c r="I145" s="31" t="s">
        <v>187</v>
      </c>
      <c r="J145" s="6">
        <v>300</v>
      </c>
      <c r="K145" s="95" t="s">
        <v>187</v>
      </c>
      <c r="L145" s="97"/>
      <c r="M145" s="31">
        <v>300</v>
      </c>
      <c r="N145" s="31" t="s">
        <v>187</v>
      </c>
      <c r="O145" s="31">
        <v>50</v>
      </c>
      <c r="P145" s="18">
        <f t="shared" si="48"/>
        <v>1850</v>
      </c>
      <c r="Q145" s="6"/>
    </row>
    <row r="146" spans="1:17" x14ac:dyDescent="0.25">
      <c r="A146" s="6">
        <v>14</v>
      </c>
      <c r="B146" s="6" t="s">
        <v>117</v>
      </c>
      <c r="C146" s="31" t="s">
        <v>187</v>
      </c>
      <c r="D146" s="6">
        <v>700</v>
      </c>
      <c r="E146" s="95" t="s">
        <v>187</v>
      </c>
      <c r="F146" s="96"/>
      <c r="G146" s="96"/>
      <c r="H146" s="97"/>
      <c r="I146" s="6">
        <v>700</v>
      </c>
      <c r="J146" s="95" t="s">
        <v>187</v>
      </c>
      <c r="K146" s="96"/>
      <c r="L146" s="96"/>
      <c r="M146" s="97"/>
      <c r="N146" s="6">
        <v>700</v>
      </c>
      <c r="O146" s="23"/>
      <c r="P146" s="18">
        <f t="shared" si="48"/>
        <v>2100</v>
      </c>
      <c r="Q146" s="6"/>
    </row>
    <row r="147" spans="1:17" x14ac:dyDescent="0.25">
      <c r="A147" s="6">
        <v>15</v>
      </c>
      <c r="B147" s="6" t="s">
        <v>204</v>
      </c>
      <c r="C147" s="6">
        <v>140</v>
      </c>
      <c r="D147" s="6">
        <v>630</v>
      </c>
      <c r="E147" s="95" t="s">
        <v>187</v>
      </c>
      <c r="F147" s="96"/>
      <c r="G147" s="97"/>
      <c r="H147" s="6">
        <v>830</v>
      </c>
      <c r="I147" s="31" t="s">
        <v>187</v>
      </c>
      <c r="J147" s="95" t="s">
        <v>187</v>
      </c>
      <c r="K147" s="96"/>
      <c r="L147" s="97"/>
      <c r="M147" s="6">
        <v>700</v>
      </c>
      <c r="N147" s="31" t="s">
        <v>187</v>
      </c>
      <c r="O147" s="31" t="s">
        <v>187</v>
      </c>
      <c r="P147" s="18">
        <f t="shared" si="48"/>
        <v>2300</v>
      </c>
      <c r="Q147" s="6" t="s">
        <v>253</v>
      </c>
    </row>
    <row r="148" spans="1:17" x14ac:dyDescent="0.25">
      <c r="A148" s="6">
        <v>16</v>
      </c>
      <c r="B148" s="6" t="s">
        <v>119</v>
      </c>
      <c r="C148" s="6">
        <v>300</v>
      </c>
      <c r="D148" s="31" t="s">
        <v>187</v>
      </c>
      <c r="E148" s="31">
        <v>300</v>
      </c>
      <c r="F148" s="31" t="s">
        <v>187</v>
      </c>
      <c r="G148" s="34">
        <v>450</v>
      </c>
      <c r="H148" s="31" t="s">
        <v>187</v>
      </c>
      <c r="I148" s="31">
        <v>150</v>
      </c>
      <c r="J148" s="31" t="s">
        <v>187</v>
      </c>
      <c r="K148" s="6">
        <v>300</v>
      </c>
      <c r="L148" s="6">
        <v>150</v>
      </c>
      <c r="M148" s="31" t="s">
        <v>187</v>
      </c>
      <c r="N148" s="6">
        <v>450</v>
      </c>
      <c r="O148" s="23"/>
      <c r="P148" s="18">
        <f t="shared" si="48"/>
        <v>2100</v>
      </c>
      <c r="Q148" s="6"/>
    </row>
    <row r="149" spans="1:17" x14ac:dyDescent="0.25">
      <c r="A149" s="6">
        <v>17</v>
      </c>
      <c r="B149" s="6" t="s">
        <v>120</v>
      </c>
      <c r="C149" s="25">
        <v>2160</v>
      </c>
      <c r="D149" s="99" t="s">
        <v>187</v>
      </c>
      <c r="E149" s="100"/>
      <c r="F149" s="100"/>
      <c r="G149" s="101"/>
      <c r="H149" s="25">
        <v>1800</v>
      </c>
      <c r="I149" s="99" t="s">
        <v>187</v>
      </c>
      <c r="J149" s="100"/>
      <c r="K149" s="100"/>
      <c r="L149" s="100"/>
      <c r="M149" s="100"/>
      <c r="N149" s="101"/>
      <c r="O149" s="25">
        <v>100</v>
      </c>
      <c r="P149" s="18">
        <f t="shared" si="48"/>
        <v>4060</v>
      </c>
      <c r="Q149" s="6" t="s">
        <v>184</v>
      </c>
    </row>
    <row r="150" spans="1:17" ht="15.75" thickBot="1" x14ac:dyDescent="0.3">
      <c r="A150" s="105" t="s">
        <v>169</v>
      </c>
      <c r="B150" s="106"/>
      <c r="C150" s="20">
        <f>SUM(C130:C149)</f>
        <v>6800</v>
      </c>
      <c r="D150" s="20">
        <f t="shared" ref="D150" si="49">SUM(D130:D149)</f>
        <v>4770</v>
      </c>
      <c r="E150" s="20">
        <f t="shared" ref="E150" si="50">SUM(E130:E149)</f>
        <v>3740</v>
      </c>
      <c r="F150" s="20">
        <f t="shared" ref="F150" si="51">SUM(F130:F149)</f>
        <v>1340</v>
      </c>
      <c r="G150" s="20">
        <f t="shared" ref="G150" si="52">SUM(G130:G149)</f>
        <v>3070</v>
      </c>
      <c r="H150" s="20">
        <f t="shared" ref="H150" si="53">SUM(H130:H149)</f>
        <v>3490</v>
      </c>
      <c r="I150" s="20">
        <f t="shared" ref="I150" si="54">SUM(I130:I149)</f>
        <v>2350</v>
      </c>
      <c r="J150" s="20">
        <f t="shared" ref="J150" si="55">SUM(J130:J149)</f>
        <v>1000</v>
      </c>
      <c r="K150" s="20">
        <f t="shared" ref="K150" si="56">SUM(K130:K149)</f>
        <v>1420</v>
      </c>
      <c r="L150" s="20">
        <f>SUM(L130:L149)</f>
        <v>710</v>
      </c>
      <c r="M150" s="20">
        <f t="shared" ref="M150" si="57">SUM(M130:M149)</f>
        <v>4140</v>
      </c>
      <c r="N150" s="20">
        <f t="shared" ref="N150" si="58">SUM(N130:N149)</f>
        <v>5558</v>
      </c>
      <c r="O150" s="6"/>
      <c r="P150" s="19">
        <f>SUM(P133:P149)</f>
        <v>36660</v>
      </c>
      <c r="Q150" s="6"/>
    </row>
    <row r="151" spans="1:17" ht="15.75" thickTop="1" x14ac:dyDescent="0.25"/>
    <row r="153" spans="1:17" x14ac:dyDescent="0.25">
      <c r="A153" s="98" t="s">
        <v>256</v>
      </c>
      <c r="B153" s="98"/>
      <c r="C153" s="98"/>
      <c r="D153" s="98"/>
      <c r="E153" s="98"/>
      <c r="F153" s="98"/>
      <c r="G153" s="98"/>
    </row>
    <row r="154" spans="1:17" x14ac:dyDescent="0.25">
      <c r="A154" t="s">
        <v>257</v>
      </c>
      <c r="N154" t="s">
        <v>183</v>
      </c>
    </row>
    <row r="155" spans="1:17" x14ac:dyDescent="0.25">
      <c r="A155" t="s">
        <v>265</v>
      </c>
    </row>
    <row r="158" spans="1:17" x14ac:dyDescent="0.25">
      <c r="B158" s="94" t="s">
        <v>169</v>
      </c>
      <c r="C158" t="s">
        <v>5</v>
      </c>
      <c r="D158" s="46">
        <f>C28+C51+C77+C104+C127+C150</f>
        <v>18080</v>
      </c>
    </row>
    <row r="159" spans="1:17" x14ac:dyDescent="0.25">
      <c r="B159" s="94"/>
      <c r="C159" t="s">
        <v>6</v>
      </c>
      <c r="D159" s="46">
        <f>D28+D51+D77+D104+D127+D150</f>
        <v>20780</v>
      </c>
    </row>
    <row r="160" spans="1:17" x14ac:dyDescent="0.25">
      <c r="B160" s="94"/>
      <c r="C160" t="s">
        <v>7</v>
      </c>
      <c r="D160" s="46">
        <f>E28+E51+E77+E104+E127+E150</f>
        <v>19980</v>
      </c>
    </row>
    <row r="161" spans="2:4" x14ac:dyDescent="0.25">
      <c r="B161" s="94"/>
      <c r="C161" t="s">
        <v>8</v>
      </c>
      <c r="D161" s="46">
        <f>F28+F51+F77+F104+F127+F150</f>
        <v>12990</v>
      </c>
    </row>
    <row r="162" spans="2:4" x14ac:dyDescent="0.25">
      <c r="B162" s="94"/>
      <c r="C162" t="s">
        <v>9</v>
      </c>
      <c r="D162" s="46">
        <f>G28+G51+G77+G104+G127+G150</f>
        <v>11440</v>
      </c>
    </row>
    <row r="163" spans="2:4" x14ac:dyDescent="0.25">
      <c r="B163" s="94"/>
      <c r="C163" t="s">
        <v>10</v>
      </c>
      <c r="D163" s="46">
        <f>H28+H51+H77+H104+H127+H150</f>
        <v>21080</v>
      </c>
    </row>
    <row r="164" spans="2:4" x14ac:dyDescent="0.25">
      <c r="B164" s="94"/>
      <c r="C164" t="s">
        <v>11</v>
      </c>
      <c r="D164" s="46">
        <f>I28+I51+I77+I104+I127+I150</f>
        <v>18870</v>
      </c>
    </row>
    <row r="165" spans="2:4" x14ac:dyDescent="0.25">
      <c r="B165" s="94"/>
      <c r="C165" t="s">
        <v>141</v>
      </c>
      <c r="D165" s="46">
        <f>J28+J51+J77+J104+J127+J150</f>
        <v>12150</v>
      </c>
    </row>
    <row r="166" spans="2:4" x14ac:dyDescent="0.25">
      <c r="B166" s="94"/>
      <c r="C166" t="s">
        <v>13</v>
      </c>
      <c r="D166" s="46">
        <f>K28+K51+K77+K104+K127+K150</f>
        <v>15170</v>
      </c>
    </row>
    <row r="167" spans="2:4" x14ac:dyDescent="0.25">
      <c r="B167" s="94"/>
      <c r="C167" t="s">
        <v>14</v>
      </c>
      <c r="D167" s="46">
        <f>L28+L51+L77+L104+L127+L150</f>
        <v>14630</v>
      </c>
    </row>
    <row r="168" spans="2:4" x14ac:dyDescent="0.25">
      <c r="B168" s="94"/>
      <c r="C168" t="s">
        <v>15</v>
      </c>
      <c r="D168" s="46">
        <f>M28+M51+M77+M104+M127+M150</f>
        <v>11600</v>
      </c>
    </row>
    <row r="169" spans="2:4" x14ac:dyDescent="0.25">
      <c r="B169" s="94"/>
      <c r="C169" t="s">
        <v>16</v>
      </c>
      <c r="D169" s="46">
        <f>N28+N51+N77+N104+N127+N150</f>
        <v>18749</v>
      </c>
    </row>
  </sheetData>
  <mergeCells count="169">
    <mergeCell ref="F121:G121"/>
    <mergeCell ref="D110:F110"/>
    <mergeCell ref="F125:G125"/>
    <mergeCell ref="F114:G114"/>
    <mergeCell ref="D117:H117"/>
    <mergeCell ref="J111:L111"/>
    <mergeCell ref="G116:M116"/>
    <mergeCell ref="M111:N111"/>
    <mergeCell ref="I121:N121"/>
    <mergeCell ref="K113:M113"/>
    <mergeCell ref="J110:N110"/>
    <mergeCell ref="L112:N112"/>
    <mergeCell ref="D119:M119"/>
    <mergeCell ref="E118:N118"/>
    <mergeCell ref="E111:G111"/>
    <mergeCell ref="L114:M114"/>
    <mergeCell ref="C116:E116"/>
    <mergeCell ref="F112:H112"/>
    <mergeCell ref="D103:H103"/>
    <mergeCell ref="I98:J98"/>
    <mergeCell ref="E89:J89"/>
    <mergeCell ref="I86:J86"/>
    <mergeCell ref="M88:N88"/>
    <mergeCell ref="M101:N101"/>
    <mergeCell ref="K83:L83"/>
    <mergeCell ref="L98:M98"/>
    <mergeCell ref="K103:N103"/>
    <mergeCell ref="E100:G100"/>
    <mergeCell ref="M85:N85"/>
    <mergeCell ref="I100:L100"/>
    <mergeCell ref="L89:N89"/>
    <mergeCell ref="L90:N90"/>
    <mergeCell ref="C90:J90"/>
    <mergeCell ref="J50:K50"/>
    <mergeCell ref="M50:N50"/>
    <mergeCell ref="D88:E88"/>
    <mergeCell ref="D101:E101"/>
    <mergeCell ref="E96:N96"/>
    <mergeCell ref="C95:D95"/>
    <mergeCell ref="C98:D98"/>
    <mergeCell ref="C86:E86"/>
    <mergeCell ref="G88:H88"/>
    <mergeCell ref="D84:F84"/>
    <mergeCell ref="H84:N84"/>
    <mergeCell ref="F101:G101"/>
    <mergeCell ref="F98:G98"/>
    <mergeCell ref="H95:I95"/>
    <mergeCell ref="C59:F59"/>
    <mergeCell ref="H59:K59"/>
    <mergeCell ref="E60:F60"/>
    <mergeCell ref="J58:K58"/>
    <mergeCell ref="L60:M60"/>
    <mergeCell ref="C61:H61"/>
    <mergeCell ref="C65:D65"/>
    <mergeCell ref="G66:N66"/>
    <mergeCell ref="C66:E66"/>
    <mergeCell ref="C76:E76"/>
    <mergeCell ref="A28:B28"/>
    <mergeCell ref="A51:B51"/>
    <mergeCell ref="A77:B77"/>
    <mergeCell ref="A104:B104"/>
    <mergeCell ref="A127:B127"/>
    <mergeCell ref="C50:D50"/>
    <mergeCell ref="E50:H50"/>
    <mergeCell ref="M37:N37"/>
    <mergeCell ref="I112:J112"/>
    <mergeCell ref="F62:N62"/>
    <mergeCell ref="D58:E58"/>
    <mergeCell ref="K40:M40"/>
    <mergeCell ref="J44:M44"/>
    <mergeCell ref="E41:I41"/>
    <mergeCell ref="K41:N41"/>
    <mergeCell ref="I39:N39"/>
    <mergeCell ref="E39:G39"/>
    <mergeCell ref="C83:G83"/>
    <mergeCell ref="L86:N86"/>
    <mergeCell ref="L91:M91"/>
    <mergeCell ref="C87:G87"/>
    <mergeCell ref="I87:N87"/>
    <mergeCell ref="J88:K88"/>
    <mergeCell ref="G76:H76"/>
    <mergeCell ref="J74:K74"/>
    <mergeCell ref="F72:K72"/>
    <mergeCell ref="M72:N72"/>
    <mergeCell ref="M74:N74"/>
    <mergeCell ref="F75:K75"/>
    <mergeCell ref="I73:L73"/>
    <mergeCell ref="M68:N68"/>
    <mergeCell ref="C68:K68"/>
    <mergeCell ref="J67:N67"/>
    <mergeCell ref="C67:H67"/>
    <mergeCell ref="C70:I70"/>
    <mergeCell ref="K70:N70"/>
    <mergeCell ref="E71:N71"/>
    <mergeCell ref="M75:N75"/>
    <mergeCell ref="C75:D75"/>
    <mergeCell ref="C72:D72"/>
    <mergeCell ref="C42:D42"/>
    <mergeCell ref="C45:G45"/>
    <mergeCell ref="I45:N45"/>
    <mergeCell ref="D27:G27"/>
    <mergeCell ref="I20:J20"/>
    <mergeCell ref="J8:K8"/>
    <mergeCell ref="C10:H10"/>
    <mergeCell ref="H16:I16"/>
    <mergeCell ref="I19:J19"/>
    <mergeCell ref="L19:N19"/>
    <mergeCell ref="J9:K9"/>
    <mergeCell ref="D26:J26"/>
    <mergeCell ref="C13:L13"/>
    <mergeCell ref="I18:L18"/>
    <mergeCell ref="I27:M27"/>
    <mergeCell ref="M16:N16"/>
    <mergeCell ref="C9:D9"/>
    <mergeCell ref="C19:E19"/>
    <mergeCell ref="G19:H19"/>
    <mergeCell ref="D15:E15"/>
    <mergeCell ref="C18:G18"/>
    <mergeCell ref="M26:N26"/>
    <mergeCell ref="C21:N21"/>
    <mergeCell ref="J10:N10"/>
    <mergeCell ref="C142:D142"/>
    <mergeCell ref="L143:M143"/>
    <mergeCell ref="F143:J143"/>
    <mergeCell ref="C62:D62"/>
    <mergeCell ref="C73:G73"/>
    <mergeCell ref="A150:B150"/>
    <mergeCell ref="L130:M130"/>
    <mergeCell ref="L131:M131"/>
    <mergeCell ref="C36:D36"/>
    <mergeCell ref="F42:J42"/>
    <mergeCell ref="F36:J36"/>
    <mergeCell ref="E49:H49"/>
    <mergeCell ref="E44:H44"/>
    <mergeCell ref="C43:D43"/>
    <mergeCell ref="D48:E48"/>
    <mergeCell ref="C47:E47"/>
    <mergeCell ref="G47:N47"/>
    <mergeCell ref="F40:G40"/>
    <mergeCell ref="C39:D39"/>
    <mergeCell ref="J49:N49"/>
    <mergeCell ref="C46:H46"/>
    <mergeCell ref="J46:N46"/>
    <mergeCell ref="K43:N43"/>
    <mergeCell ref="F43:I43"/>
    <mergeCell ref="B158:B169"/>
    <mergeCell ref="D141:N141"/>
    <mergeCell ref="D136:F136"/>
    <mergeCell ref="M58:N58"/>
    <mergeCell ref="L65:N65"/>
    <mergeCell ref="L42:N42"/>
    <mergeCell ref="J61:N61"/>
    <mergeCell ref="F142:N142"/>
    <mergeCell ref="A153:G153"/>
    <mergeCell ref="J117:N117"/>
    <mergeCell ref="D149:G149"/>
    <mergeCell ref="I149:N149"/>
    <mergeCell ref="E147:G147"/>
    <mergeCell ref="E146:H146"/>
    <mergeCell ref="K144:L144"/>
    <mergeCell ref="J134:K134"/>
    <mergeCell ref="E137:L137"/>
    <mergeCell ref="J147:L147"/>
    <mergeCell ref="J146:M146"/>
    <mergeCell ref="H136:M136"/>
    <mergeCell ref="K145:L145"/>
    <mergeCell ref="M122:N122"/>
    <mergeCell ref="E126:H126"/>
    <mergeCell ref="J126:N126"/>
  </mergeCells>
  <phoneticPr fontId="12" type="noConversion"/>
  <pageMargins left="0.7" right="0.7" top="0.75" bottom="0.75" header="0.3" footer="0.3"/>
  <pageSetup paperSize="9" orientation="portrait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CD90E-F5B6-4C7F-BD6A-B6454476EA3D}">
  <sheetPr>
    <tabColor theme="4"/>
  </sheetPr>
  <dimension ref="E3:J81"/>
  <sheetViews>
    <sheetView showGridLines="0" workbookViewId="0">
      <pane ySplit="4" topLeftCell="A61" activePane="bottomLeft" state="frozenSplit"/>
      <selection pane="bottomLeft" activeCell="H82" sqref="H82"/>
    </sheetView>
  </sheetViews>
  <sheetFormatPr defaultRowHeight="15" x14ac:dyDescent="0.25"/>
  <cols>
    <col min="5" max="5" width="10.7109375" bestFit="1" customWidth="1"/>
    <col min="8" max="8" width="17.28515625" customWidth="1"/>
    <col min="9" max="9" width="9.85546875" customWidth="1"/>
    <col min="10" max="10" width="10.7109375" customWidth="1"/>
  </cols>
  <sheetData>
    <row r="3" spans="5:10" x14ac:dyDescent="0.25">
      <c r="J3">
        <f>SUBTOTAL(9,J4:J81)</f>
        <v>43200</v>
      </c>
    </row>
    <row r="4" spans="5:10" x14ac:dyDescent="0.25">
      <c r="E4" t="s">
        <v>123</v>
      </c>
      <c r="F4" t="s">
        <v>2</v>
      </c>
      <c r="G4" t="s">
        <v>241</v>
      </c>
      <c r="H4" t="s">
        <v>168</v>
      </c>
      <c r="I4" t="s">
        <v>579</v>
      </c>
      <c r="J4" t="s">
        <v>124</v>
      </c>
    </row>
    <row r="5" spans="5:10" x14ac:dyDescent="0.25">
      <c r="E5" s="87">
        <v>44712</v>
      </c>
      <c r="F5">
        <f>YEAR(E5)</f>
        <v>2022</v>
      </c>
      <c r="G5">
        <f>MONTH(E5)</f>
        <v>5</v>
      </c>
      <c r="H5" t="s">
        <v>128</v>
      </c>
      <c r="I5" t="s">
        <v>580</v>
      </c>
      <c r="J5">
        <v>1680</v>
      </c>
    </row>
    <row r="6" spans="5:10" x14ac:dyDescent="0.25">
      <c r="E6" s="87">
        <v>44651</v>
      </c>
      <c r="F6">
        <f t="shared" ref="F6:F69" si="0">YEAR(E6)</f>
        <v>2022</v>
      </c>
      <c r="G6">
        <f t="shared" ref="G6:G69" si="1">MONTH(E6)</f>
        <v>3</v>
      </c>
      <c r="H6" t="s">
        <v>132</v>
      </c>
      <c r="I6" t="s">
        <v>580</v>
      </c>
      <c r="J6">
        <v>840</v>
      </c>
    </row>
    <row r="7" spans="5:10" x14ac:dyDescent="0.25">
      <c r="E7" s="87">
        <v>44807</v>
      </c>
      <c r="F7">
        <f t="shared" si="0"/>
        <v>2022</v>
      </c>
      <c r="G7">
        <f t="shared" si="1"/>
        <v>9</v>
      </c>
      <c r="H7" t="s">
        <v>128</v>
      </c>
      <c r="I7" t="s">
        <v>581</v>
      </c>
      <c r="J7">
        <v>1120</v>
      </c>
    </row>
    <row r="8" spans="5:10" x14ac:dyDescent="0.25">
      <c r="E8" s="87">
        <v>44601</v>
      </c>
      <c r="F8">
        <f t="shared" si="0"/>
        <v>2022</v>
      </c>
      <c r="G8">
        <f t="shared" si="1"/>
        <v>2</v>
      </c>
      <c r="H8" t="s">
        <v>128</v>
      </c>
      <c r="I8" t="s">
        <v>580</v>
      </c>
      <c r="J8">
        <v>1680</v>
      </c>
    </row>
    <row r="9" spans="5:10" x14ac:dyDescent="0.25">
      <c r="E9" s="87">
        <v>44789</v>
      </c>
      <c r="F9">
        <f t="shared" si="0"/>
        <v>2022</v>
      </c>
      <c r="G9">
        <f t="shared" si="1"/>
        <v>8</v>
      </c>
      <c r="H9" t="s">
        <v>128</v>
      </c>
      <c r="I9" t="s">
        <v>581</v>
      </c>
      <c r="J9">
        <v>840</v>
      </c>
    </row>
    <row r="10" spans="5:10" x14ac:dyDescent="0.25">
      <c r="E10" s="87">
        <v>44807</v>
      </c>
      <c r="F10">
        <f t="shared" si="0"/>
        <v>2022</v>
      </c>
      <c r="G10">
        <f t="shared" si="1"/>
        <v>9</v>
      </c>
      <c r="H10" t="s">
        <v>128</v>
      </c>
      <c r="I10" t="s">
        <v>581</v>
      </c>
      <c r="J10">
        <v>1120</v>
      </c>
    </row>
    <row r="11" spans="5:10" x14ac:dyDescent="0.25">
      <c r="E11" s="87">
        <v>44614</v>
      </c>
      <c r="F11">
        <f t="shared" si="0"/>
        <v>2022</v>
      </c>
      <c r="G11">
        <f t="shared" si="1"/>
        <v>2</v>
      </c>
      <c r="H11" t="s">
        <v>128</v>
      </c>
      <c r="I11" t="s">
        <v>580</v>
      </c>
      <c r="J11">
        <v>840</v>
      </c>
    </row>
    <row r="12" spans="5:10" x14ac:dyDescent="0.25">
      <c r="E12" s="87">
        <v>44747</v>
      </c>
      <c r="F12">
        <f t="shared" si="0"/>
        <v>2022</v>
      </c>
      <c r="G12">
        <f t="shared" si="1"/>
        <v>7</v>
      </c>
      <c r="H12" t="s">
        <v>128</v>
      </c>
      <c r="I12" t="s">
        <v>581</v>
      </c>
      <c r="J12">
        <v>840</v>
      </c>
    </row>
    <row r="13" spans="5:10" x14ac:dyDescent="0.25">
      <c r="E13" s="87">
        <v>44909</v>
      </c>
      <c r="F13">
        <f t="shared" si="0"/>
        <v>2022</v>
      </c>
      <c r="G13">
        <f t="shared" si="1"/>
        <v>12</v>
      </c>
      <c r="H13" t="s">
        <v>128</v>
      </c>
      <c r="I13" t="s">
        <v>581</v>
      </c>
      <c r="J13">
        <v>840</v>
      </c>
    </row>
    <row r="14" spans="5:10" x14ac:dyDescent="0.25">
      <c r="E14" s="87">
        <v>44614</v>
      </c>
      <c r="F14">
        <f t="shared" si="0"/>
        <v>2022</v>
      </c>
      <c r="G14">
        <f t="shared" si="1"/>
        <v>2</v>
      </c>
      <c r="H14" t="s">
        <v>128</v>
      </c>
      <c r="I14" t="s">
        <v>580</v>
      </c>
      <c r="J14">
        <v>50</v>
      </c>
    </row>
    <row r="15" spans="5:10" x14ac:dyDescent="0.25">
      <c r="E15" s="87">
        <v>44713</v>
      </c>
      <c r="F15">
        <f t="shared" si="0"/>
        <v>2022</v>
      </c>
      <c r="G15">
        <f t="shared" si="1"/>
        <v>6</v>
      </c>
      <c r="H15" t="s">
        <v>128</v>
      </c>
      <c r="I15" t="s">
        <v>580</v>
      </c>
      <c r="J15">
        <v>1680</v>
      </c>
    </row>
    <row r="16" spans="5:10" x14ac:dyDescent="0.25">
      <c r="E16" s="87">
        <v>44713</v>
      </c>
      <c r="F16">
        <f t="shared" si="0"/>
        <v>2022</v>
      </c>
      <c r="G16">
        <f t="shared" si="1"/>
        <v>6</v>
      </c>
      <c r="H16" t="s">
        <v>128</v>
      </c>
      <c r="I16" t="s">
        <v>580</v>
      </c>
      <c r="J16">
        <v>50</v>
      </c>
    </row>
    <row r="17" spans="5:10" x14ac:dyDescent="0.25">
      <c r="E17" s="87">
        <v>44768</v>
      </c>
      <c r="F17">
        <f t="shared" si="0"/>
        <v>2022</v>
      </c>
      <c r="G17">
        <f t="shared" si="1"/>
        <v>7</v>
      </c>
      <c r="H17" t="s">
        <v>128</v>
      </c>
      <c r="I17" t="s">
        <v>581</v>
      </c>
      <c r="J17">
        <v>900</v>
      </c>
    </row>
    <row r="18" spans="5:10" x14ac:dyDescent="0.25">
      <c r="E18" s="87">
        <v>44655</v>
      </c>
      <c r="F18">
        <f t="shared" si="0"/>
        <v>2022</v>
      </c>
      <c r="G18">
        <f t="shared" si="1"/>
        <v>4</v>
      </c>
      <c r="H18" t="s">
        <v>128</v>
      </c>
      <c r="I18" t="s">
        <v>580</v>
      </c>
      <c r="J18">
        <v>1680</v>
      </c>
    </row>
    <row r="19" spans="5:10" x14ac:dyDescent="0.25">
      <c r="E19" s="87">
        <v>44655</v>
      </c>
      <c r="F19">
        <f t="shared" si="0"/>
        <v>2022</v>
      </c>
      <c r="G19">
        <f t="shared" si="1"/>
        <v>4</v>
      </c>
      <c r="H19" t="s">
        <v>128</v>
      </c>
      <c r="I19" t="s">
        <v>580</v>
      </c>
      <c r="J19">
        <v>50</v>
      </c>
    </row>
    <row r="20" spans="5:10" x14ac:dyDescent="0.25">
      <c r="E20" s="87">
        <v>44602</v>
      </c>
      <c r="F20">
        <f t="shared" si="0"/>
        <v>2022</v>
      </c>
      <c r="G20">
        <f t="shared" si="1"/>
        <v>2</v>
      </c>
      <c r="H20" t="s">
        <v>128</v>
      </c>
      <c r="I20" t="s">
        <v>580</v>
      </c>
      <c r="J20">
        <v>900</v>
      </c>
    </row>
    <row r="21" spans="5:10" x14ac:dyDescent="0.25">
      <c r="E21" s="87">
        <v>44747</v>
      </c>
      <c r="F21">
        <f t="shared" si="0"/>
        <v>2022</v>
      </c>
      <c r="G21">
        <f t="shared" si="1"/>
        <v>7</v>
      </c>
      <c r="H21" t="s">
        <v>128</v>
      </c>
      <c r="I21" t="s">
        <v>581</v>
      </c>
      <c r="J21">
        <v>900</v>
      </c>
    </row>
    <row r="22" spans="5:10" x14ac:dyDescent="0.25">
      <c r="E22" s="87">
        <v>44747</v>
      </c>
      <c r="F22">
        <f t="shared" si="0"/>
        <v>2022</v>
      </c>
      <c r="G22">
        <f t="shared" si="1"/>
        <v>7</v>
      </c>
      <c r="H22" t="s">
        <v>128</v>
      </c>
      <c r="I22" t="s">
        <v>581</v>
      </c>
      <c r="J22">
        <v>50</v>
      </c>
    </row>
    <row r="23" spans="5:10" x14ac:dyDescent="0.25">
      <c r="E23" s="87">
        <v>44610</v>
      </c>
      <c r="F23">
        <f t="shared" si="0"/>
        <v>2022</v>
      </c>
      <c r="G23">
        <f t="shared" si="1"/>
        <v>2</v>
      </c>
      <c r="H23" t="s">
        <v>128</v>
      </c>
      <c r="I23" t="s">
        <v>580</v>
      </c>
      <c r="J23">
        <v>1560</v>
      </c>
    </row>
    <row r="24" spans="5:10" x14ac:dyDescent="0.25">
      <c r="E24" s="87">
        <v>44697</v>
      </c>
      <c r="F24">
        <f t="shared" si="0"/>
        <v>2022</v>
      </c>
      <c r="G24">
        <f t="shared" si="1"/>
        <v>5</v>
      </c>
      <c r="H24" t="s">
        <v>132</v>
      </c>
      <c r="I24" t="s">
        <v>580</v>
      </c>
      <c r="J24">
        <v>780</v>
      </c>
    </row>
    <row r="25" spans="5:10" x14ac:dyDescent="0.25">
      <c r="E25" s="87">
        <v>44662</v>
      </c>
      <c r="F25">
        <f t="shared" si="0"/>
        <v>2022</v>
      </c>
      <c r="G25">
        <f t="shared" si="1"/>
        <v>4</v>
      </c>
      <c r="H25" t="s">
        <v>132</v>
      </c>
      <c r="I25" t="s">
        <v>580</v>
      </c>
      <c r="J25">
        <v>1120</v>
      </c>
    </row>
    <row r="26" spans="5:10" x14ac:dyDescent="0.25">
      <c r="E26" s="87">
        <v>44742</v>
      </c>
      <c r="F26">
        <f t="shared" si="0"/>
        <v>2022</v>
      </c>
      <c r="G26">
        <f t="shared" si="1"/>
        <v>6</v>
      </c>
      <c r="H26" t="s">
        <v>128</v>
      </c>
      <c r="I26" t="s">
        <v>580</v>
      </c>
      <c r="J26">
        <v>1680</v>
      </c>
    </row>
    <row r="27" spans="5:10" x14ac:dyDescent="0.25">
      <c r="E27" s="87">
        <v>44567</v>
      </c>
      <c r="F27">
        <f t="shared" si="0"/>
        <v>2022</v>
      </c>
      <c r="G27">
        <f t="shared" si="1"/>
        <v>1</v>
      </c>
      <c r="H27" t="s">
        <v>128</v>
      </c>
      <c r="I27" t="s">
        <v>580</v>
      </c>
      <c r="J27">
        <v>420</v>
      </c>
    </row>
    <row r="28" spans="5:10" x14ac:dyDescent="0.25">
      <c r="E28" s="87">
        <v>44658</v>
      </c>
      <c r="F28">
        <f t="shared" si="0"/>
        <v>2022</v>
      </c>
      <c r="G28">
        <f t="shared" si="1"/>
        <v>4</v>
      </c>
      <c r="H28" t="s">
        <v>128</v>
      </c>
      <c r="I28" t="s">
        <v>580</v>
      </c>
      <c r="J28">
        <v>420</v>
      </c>
    </row>
    <row r="29" spans="5:10" x14ac:dyDescent="0.25">
      <c r="E29" s="87">
        <v>44746</v>
      </c>
      <c r="F29">
        <f t="shared" si="0"/>
        <v>2022</v>
      </c>
      <c r="G29">
        <f t="shared" si="1"/>
        <v>7</v>
      </c>
      <c r="H29" t="s">
        <v>128</v>
      </c>
      <c r="I29" t="s">
        <v>581</v>
      </c>
      <c r="J29">
        <v>420</v>
      </c>
    </row>
    <row r="30" spans="5:10" x14ac:dyDescent="0.25">
      <c r="E30" s="87">
        <v>44837</v>
      </c>
      <c r="F30">
        <f t="shared" si="0"/>
        <v>2022</v>
      </c>
      <c r="G30">
        <f t="shared" si="1"/>
        <v>10</v>
      </c>
      <c r="H30" t="s">
        <v>128</v>
      </c>
      <c r="I30" t="s">
        <v>581</v>
      </c>
      <c r="J30">
        <v>420</v>
      </c>
    </row>
    <row r="31" spans="5:10" x14ac:dyDescent="0.25">
      <c r="E31" s="87">
        <v>44594</v>
      </c>
      <c r="F31">
        <f t="shared" si="0"/>
        <v>2022</v>
      </c>
      <c r="G31">
        <f t="shared" si="1"/>
        <v>2</v>
      </c>
      <c r="H31" t="s">
        <v>128</v>
      </c>
      <c r="I31" t="s">
        <v>580</v>
      </c>
      <c r="J31">
        <v>420</v>
      </c>
    </row>
    <row r="32" spans="5:10" x14ac:dyDescent="0.25">
      <c r="E32" s="87">
        <v>44712</v>
      </c>
      <c r="F32">
        <f t="shared" si="0"/>
        <v>2022</v>
      </c>
      <c r="G32">
        <f t="shared" si="1"/>
        <v>5</v>
      </c>
      <c r="H32" t="s">
        <v>128</v>
      </c>
      <c r="I32" t="s">
        <v>580</v>
      </c>
      <c r="J32">
        <v>420</v>
      </c>
    </row>
    <row r="33" spans="5:10" x14ac:dyDescent="0.25">
      <c r="E33" s="87">
        <v>44867</v>
      </c>
      <c r="F33">
        <f t="shared" si="0"/>
        <v>2022</v>
      </c>
      <c r="G33">
        <f t="shared" si="1"/>
        <v>11</v>
      </c>
      <c r="H33" t="s">
        <v>128</v>
      </c>
      <c r="I33" t="s">
        <v>581</v>
      </c>
      <c r="J33">
        <v>420</v>
      </c>
    </row>
    <row r="34" spans="5:10" x14ac:dyDescent="0.25">
      <c r="E34" s="87">
        <v>44562</v>
      </c>
      <c r="F34">
        <f t="shared" si="0"/>
        <v>2022</v>
      </c>
      <c r="G34">
        <f t="shared" si="1"/>
        <v>1</v>
      </c>
      <c r="H34" t="s">
        <v>128</v>
      </c>
      <c r="I34" t="s">
        <v>580</v>
      </c>
      <c r="J34">
        <v>840</v>
      </c>
    </row>
    <row r="35" spans="5:10" x14ac:dyDescent="0.25">
      <c r="E35" s="87">
        <v>44783</v>
      </c>
      <c r="F35">
        <f t="shared" si="0"/>
        <v>2022</v>
      </c>
      <c r="G35">
        <f t="shared" si="1"/>
        <v>8</v>
      </c>
      <c r="H35" t="s">
        <v>128</v>
      </c>
      <c r="I35" t="s">
        <v>581</v>
      </c>
      <c r="J35">
        <v>840</v>
      </c>
    </row>
    <row r="36" spans="5:10" x14ac:dyDescent="0.25">
      <c r="E36" s="87">
        <v>44607</v>
      </c>
      <c r="F36">
        <f t="shared" si="0"/>
        <v>2022</v>
      </c>
      <c r="G36">
        <f t="shared" si="1"/>
        <v>2</v>
      </c>
      <c r="H36" t="s">
        <v>128</v>
      </c>
      <c r="I36" t="s">
        <v>580</v>
      </c>
      <c r="J36">
        <v>700</v>
      </c>
    </row>
    <row r="37" spans="5:10" x14ac:dyDescent="0.25">
      <c r="E37" s="87">
        <v>44761</v>
      </c>
      <c r="F37">
        <f t="shared" si="0"/>
        <v>2022</v>
      </c>
      <c r="G37">
        <f t="shared" si="1"/>
        <v>7</v>
      </c>
      <c r="H37" t="s">
        <v>128</v>
      </c>
      <c r="I37" t="s">
        <v>581</v>
      </c>
      <c r="J37">
        <v>700</v>
      </c>
    </row>
    <row r="38" spans="5:10" x14ac:dyDescent="0.25">
      <c r="E38" s="87">
        <v>44562</v>
      </c>
      <c r="F38">
        <f t="shared" si="0"/>
        <v>2022</v>
      </c>
      <c r="G38">
        <f t="shared" si="1"/>
        <v>1</v>
      </c>
      <c r="H38" t="s">
        <v>132</v>
      </c>
      <c r="I38" t="s">
        <v>580</v>
      </c>
      <c r="J38">
        <v>420</v>
      </c>
    </row>
    <row r="39" spans="5:10" x14ac:dyDescent="0.25">
      <c r="E39" s="87">
        <v>44621</v>
      </c>
      <c r="F39">
        <f t="shared" si="0"/>
        <v>2022</v>
      </c>
      <c r="G39">
        <f t="shared" si="1"/>
        <v>3</v>
      </c>
      <c r="H39" t="s">
        <v>132</v>
      </c>
      <c r="I39" t="s">
        <v>580</v>
      </c>
      <c r="J39">
        <v>420</v>
      </c>
    </row>
    <row r="40" spans="5:10" x14ac:dyDescent="0.25">
      <c r="E40" s="87">
        <v>44806</v>
      </c>
      <c r="F40">
        <f t="shared" si="0"/>
        <v>2022</v>
      </c>
      <c r="G40">
        <f t="shared" si="1"/>
        <v>9</v>
      </c>
      <c r="H40" t="s">
        <v>132</v>
      </c>
      <c r="I40" t="s">
        <v>581</v>
      </c>
      <c r="J40">
        <v>840</v>
      </c>
    </row>
    <row r="41" spans="5:10" x14ac:dyDescent="0.25">
      <c r="E41" s="87">
        <v>44806</v>
      </c>
      <c r="F41">
        <f t="shared" si="0"/>
        <v>2022</v>
      </c>
      <c r="G41">
        <f t="shared" si="1"/>
        <v>9</v>
      </c>
      <c r="H41" t="s">
        <v>132</v>
      </c>
      <c r="I41" t="s">
        <v>581</v>
      </c>
      <c r="J41">
        <v>100</v>
      </c>
    </row>
    <row r="42" spans="5:10" x14ac:dyDescent="0.25">
      <c r="E42" s="87">
        <v>44592</v>
      </c>
      <c r="F42">
        <f t="shared" si="0"/>
        <v>2022</v>
      </c>
      <c r="G42">
        <f t="shared" si="1"/>
        <v>1</v>
      </c>
      <c r="H42" t="s">
        <v>128</v>
      </c>
      <c r="I42" t="s">
        <v>580</v>
      </c>
      <c r="J42">
        <v>1680</v>
      </c>
    </row>
    <row r="43" spans="5:10" x14ac:dyDescent="0.25">
      <c r="E43" s="87">
        <v>44592</v>
      </c>
      <c r="F43">
        <f t="shared" si="0"/>
        <v>2022</v>
      </c>
      <c r="G43">
        <f t="shared" si="1"/>
        <v>1</v>
      </c>
      <c r="H43" t="s">
        <v>128</v>
      </c>
      <c r="I43" t="s">
        <v>580</v>
      </c>
      <c r="J43">
        <v>50</v>
      </c>
    </row>
    <row r="44" spans="5:10" x14ac:dyDescent="0.25">
      <c r="E44" s="87">
        <v>44620</v>
      </c>
      <c r="F44">
        <f t="shared" si="0"/>
        <v>2022</v>
      </c>
      <c r="G44">
        <f t="shared" si="1"/>
        <v>2</v>
      </c>
      <c r="H44" t="s">
        <v>128</v>
      </c>
      <c r="I44" t="s">
        <v>580</v>
      </c>
      <c r="J44">
        <v>900</v>
      </c>
    </row>
    <row r="45" spans="5:10" x14ac:dyDescent="0.25">
      <c r="E45" s="87">
        <v>44769</v>
      </c>
      <c r="F45">
        <f t="shared" si="0"/>
        <v>2022</v>
      </c>
      <c r="G45">
        <f t="shared" si="1"/>
        <v>7</v>
      </c>
      <c r="H45" t="s">
        <v>128</v>
      </c>
      <c r="I45" t="s">
        <v>581</v>
      </c>
      <c r="J45">
        <v>900</v>
      </c>
    </row>
    <row r="46" spans="5:10" x14ac:dyDescent="0.25">
      <c r="E46" s="87">
        <v>44769</v>
      </c>
      <c r="F46">
        <f t="shared" si="0"/>
        <v>2022</v>
      </c>
      <c r="G46">
        <f t="shared" si="1"/>
        <v>7</v>
      </c>
      <c r="H46" t="s">
        <v>128</v>
      </c>
      <c r="I46" t="s">
        <v>581</v>
      </c>
      <c r="J46">
        <v>50</v>
      </c>
    </row>
    <row r="47" spans="5:10" x14ac:dyDescent="0.25">
      <c r="E47" s="87">
        <v>44562</v>
      </c>
      <c r="F47">
        <f t="shared" si="0"/>
        <v>2022</v>
      </c>
      <c r="G47">
        <f t="shared" si="1"/>
        <v>1</v>
      </c>
      <c r="H47" t="s">
        <v>132</v>
      </c>
      <c r="I47" t="s">
        <v>580</v>
      </c>
      <c r="J47">
        <v>140</v>
      </c>
    </row>
    <row r="48" spans="5:10" x14ac:dyDescent="0.25">
      <c r="E48" s="87">
        <v>44593</v>
      </c>
      <c r="F48">
        <f t="shared" si="0"/>
        <v>2022</v>
      </c>
      <c r="G48">
        <f t="shared" si="1"/>
        <v>2</v>
      </c>
      <c r="H48" t="s">
        <v>132</v>
      </c>
      <c r="I48" t="s">
        <v>580</v>
      </c>
      <c r="J48">
        <v>140</v>
      </c>
    </row>
    <row r="49" spans="5:10" x14ac:dyDescent="0.25">
      <c r="E49" s="87">
        <v>44621</v>
      </c>
      <c r="F49">
        <f t="shared" si="0"/>
        <v>2022</v>
      </c>
      <c r="G49">
        <f t="shared" si="1"/>
        <v>3</v>
      </c>
      <c r="H49" t="s">
        <v>132</v>
      </c>
      <c r="I49" t="s">
        <v>580</v>
      </c>
      <c r="J49">
        <v>140</v>
      </c>
    </row>
    <row r="50" spans="5:10" x14ac:dyDescent="0.25">
      <c r="E50" s="87">
        <v>44652</v>
      </c>
      <c r="F50">
        <f t="shared" si="0"/>
        <v>2022</v>
      </c>
      <c r="G50">
        <f t="shared" si="1"/>
        <v>4</v>
      </c>
      <c r="H50" t="s">
        <v>132</v>
      </c>
      <c r="I50" t="s">
        <v>580</v>
      </c>
      <c r="J50">
        <v>140</v>
      </c>
    </row>
    <row r="51" spans="5:10" x14ac:dyDescent="0.25">
      <c r="E51" s="87">
        <v>44682</v>
      </c>
      <c r="F51">
        <f t="shared" si="0"/>
        <v>2022</v>
      </c>
      <c r="G51">
        <f t="shared" si="1"/>
        <v>5</v>
      </c>
      <c r="H51" t="s">
        <v>132</v>
      </c>
      <c r="I51" t="s">
        <v>580</v>
      </c>
      <c r="J51">
        <v>140</v>
      </c>
    </row>
    <row r="52" spans="5:10" x14ac:dyDescent="0.25">
      <c r="E52" s="87">
        <v>44713</v>
      </c>
      <c r="F52">
        <f t="shared" si="0"/>
        <v>2022</v>
      </c>
      <c r="G52">
        <f t="shared" si="1"/>
        <v>6</v>
      </c>
      <c r="H52" t="s">
        <v>132</v>
      </c>
      <c r="I52" t="s">
        <v>580</v>
      </c>
      <c r="J52">
        <v>140</v>
      </c>
    </row>
    <row r="53" spans="5:10" x14ac:dyDescent="0.25">
      <c r="E53" s="87">
        <v>44743</v>
      </c>
      <c r="F53">
        <f t="shared" si="0"/>
        <v>2022</v>
      </c>
      <c r="G53">
        <f t="shared" si="1"/>
        <v>7</v>
      </c>
      <c r="H53" t="s">
        <v>132</v>
      </c>
      <c r="I53" t="s">
        <v>581</v>
      </c>
      <c r="J53">
        <v>140</v>
      </c>
    </row>
    <row r="54" spans="5:10" x14ac:dyDescent="0.25">
      <c r="E54" s="87">
        <v>44774</v>
      </c>
      <c r="F54">
        <f t="shared" si="0"/>
        <v>2022</v>
      </c>
      <c r="G54">
        <f t="shared" si="1"/>
        <v>8</v>
      </c>
      <c r="H54" t="s">
        <v>132</v>
      </c>
      <c r="I54" t="s">
        <v>581</v>
      </c>
      <c r="J54">
        <v>140</v>
      </c>
    </row>
    <row r="55" spans="5:10" x14ac:dyDescent="0.25">
      <c r="E55" s="87">
        <v>44805</v>
      </c>
      <c r="F55">
        <f t="shared" si="0"/>
        <v>2022</v>
      </c>
      <c r="G55">
        <f t="shared" si="1"/>
        <v>9</v>
      </c>
      <c r="H55" t="s">
        <v>132</v>
      </c>
      <c r="I55" t="s">
        <v>581</v>
      </c>
      <c r="J55">
        <v>140</v>
      </c>
    </row>
    <row r="56" spans="5:10" x14ac:dyDescent="0.25">
      <c r="E56" s="87">
        <v>44835</v>
      </c>
      <c r="F56">
        <f t="shared" si="0"/>
        <v>2022</v>
      </c>
      <c r="G56">
        <f t="shared" si="1"/>
        <v>10</v>
      </c>
      <c r="H56" t="s">
        <v>132</v>
      </c>
      <c r="I56" t="s">
        <v>581</v>
      </c>
      <c r="J56">
        <v>140</v>
      </c>
    </row>
    <row r="57" spans="5:10" x14ac:dyDescent="0.25">
      <c r="E57" s="87">
        <v>44866</v>
      </c>
      <c r="F57">
        <f t="shared" si="0"/>
        <v>2022</v>
      </c>
      <c r="G57">
        <f t="shared" si="1"/>
        <v>11</v>
      </c>
      <c r="H57" t="s">
        <v>132</v>
      </c>
      <c r="I57" t="s">
        <v>581</v>
      </c>
      <c r="J57">
        <v>140</v>
      </c>
    </row>
    <row r="58" spans="5:10" x14ac:dyDescent="0.25">
      <c r="E58" s="87">
        <v>44896</v>
      </c>
      <c r="F58">
        <f t="shared" si="0"/>
        <v>2022</v>
      </c>
      <c r="G58">
        <f t="shared" si="1"/>
        <v>12</v>
      </c>
      <c r="H58" t="s">
        <v>132</v>
      </c>
      <c r="I58" t="s">
        <v>581</v>
      </c>
      <c r="J58">
        <v>140</v>
      </c>
    </row>
    <row r="59" spans="5:10" x14ac:dyDescent="0.25">
      <c r="E59" s="87">
        <v>44593</v>
      </c>
      <c r="F59">
        <f t="shared" si="0"/>
        <v>2022</v>
      </c>
      <c r="G59">
        <f t="shared" si="1"/>
        <v>2</v>
      </c>
      <c r="H59" t="s">
        <v>128</v>
      </c>
      <c r="I59" t="s">
        <v>580</v>
      </c>
      <c r="J59">
        <v>500</v>
      </c>
    </row>
    <row r="60" spans="5:10" x14ac:dyDescent="0.25">
      <c r="E60" s="87">
        <v>44621</v>
      </c>
      <c r="F60">
        <f t="shared" si="0"/>
        <v>2022</v>
      </c>
      <c r="G60">
        <f t="shared" si="1"/>
        <v>3</v>
      </c>
      <c r="H60" t="s">
        <v>128</v>
      </c>
      <c r="I60" t="s">
        <v>580</v>
      </c>
      <c r="J60">
        <v>500</v>
      </c>
    </row>
    <row r="61" spans="5:10" x14ac:dyDescent="0.25">
      <c r="E61" s="87">
        <v>44652</v>
      </c>
      <c r="F61">
        <f t="shared" si="0"/>
        <v>2022</v>
      </c>
      <c r="G61">
        <f t="shared" si="1"/>
        <v>4</v>
      </c>
      <c r="H61" t="s">
        <v>128</v>
      </c>
      <c r="I61" t="s">
        <v>580</v>
      </c>
      <c r="J61">
        <v>500</v>
      </c>
    </row>
    <row r="62" spans="5:10" x14ac:dyDescent="0.25">
      <c r="E62" s="87">
        <v>44682</v>
      </c>
      <c r="F62">
        <f t="shared" si="0"/>
        <v>2022</v>
      </c>
      <c r="G62">
        <f t="shared" si="1"/>
        <v>5</v>
      </c>
      <c r="H62" t="s">
        <v>128</v>
      </c>
      <c r="I62" t="s">
        <v>580</v>
      </c>
      <c r="J62">
        <v>500</v>
      </c>
    </row>
    <row r="63" spans="5:10" x14ac:dyDescent="0.25">
      <c r="E63" s="87">
        <v>44747</v>
      </c>
      <c r="F63">
        <f t="shared" si="0"/>
        <v>2022</v>
      </c>
      <c r="G63">
        <f t="shared" si="1"/>
        <v>7</v>
      </c>
      <c r="H63" t="s">
        <v>128</v>
      </c>
      <c r="I63" t="s">
        <v>581</v>
      </c>
      <c r="J63">
        <v>500</v>
      </c>
    </row>
    <row r="64" spans="5:10" x14ac:dyDescent="0.25">
      <c r="E64" s="87">
        <v>44562</v>
      </c>
      <c r="F64">
        <f t="shared" si="0"/>
        <v>2022</v>
      </c>
      <c r="G64">
        <f t="shared" si="1"/>
        <v>1</v>
      </c>
      <c r="H64" t="s">
        <v>132</v>
      </c>
      <c r="I64" t="s">
        <v>580</v>
      </c>
      <c r="J64">
        <v>140</v>
      </c>
    </row>
    <row r="65" spans="5:10" x14ac:dyDescent="0.25">
      <c r="E65" s="87">
        <v>44593</v>
      </c>
      <c r="F65">
        <f t="shared" si="0"/>
        <v>2022</v>
      </c>
      <c r="G65">
        <f t="shared" si="1"/>
        <v>2</v>
      </c>
      <c r="H65" t="s">
        <v>132</v>
      </c>
      <c r="I65" t="s">
        <v>580</v>
      </c>
      <c r="J65">
        <v>140</v>
      </c>
    </row>
    <row r="66" spans="5:10" x14ac:dyDescent="0.25">
      <c r="E66" s="87">
        <v>44621</v>
      </c>
      <c r="F66">
        <f t="shared" si="0"/>
        <v>2022</v>
      </c>
      <c r="G66">
        <f t="shared" si="1"/>
        <v>3</v>
      </c>
      <c r="H66" t="s">
        <v>132</v>
      </c>
      <c r="I66" t="s">
        <v>580</v>
      </c>
      <c r="J66">
        <v>140</v>
      </c>
    </row>
    <row r="67" spans="5:10" x14ac:dyDescent="0.25">
      <c r="E67" s="87">
        <v>44652</v>
      </c>
      <c r="F67">
        <f t="shared" si="0"/>
        <v>2022</v>
      </c>
      <c r="G67">
        <f t="shared" si="1"/>
        <v>4</v>
      </c>
      <c r="H67" t="s">
        <v>132</v>
      </c>
      <c r="I67" t="s">
        <v>580</v>
      </c>
      <c r="J67">
        <v>140</v>
      </c>
    </row>
    <row r="68" spans="5:10" x14ac:dyDescent="0.25">
      <c r="E68" s="87">
        <v>44682</v>
      </c>
      <c r="F68">
        <f t="shared" si="0"/>
        <v>2022</v>
      </c>
      <c r="G68">
        <f t="shared" si="1"/>
        <v>5</v>
      </c>
      <c r="H68" t="s">
        <v>132</v>
      </c>
      <c r="I68" t="s">
        <v>580</v>
      </c>
      <c r="J68">
        <v>140</v>
      </c>
    </row>
    <row r="69" spans="5:10" x14ac:dyDescent="0.25">
      <c r="E69" s="87">
        <v>44713</v>
      </c>
      <c r="F69">
        <f t="shared" si="0"/>
        <v>2022</v>
      </c>
      <c r="G69">
        <f t="shared" si="1"/>
        <v>6</v>
      </c>
      <c r="H69" t="s">
        <v>132</v>
      </c>
      <c r="I69" t="s">
        <v>580</v>
      </c>
      <c r="J69">
        <v>140</v>
      </c>
    </row>
    <row r="70" spans="5:10" x14ac:dyDescent="0.25">
      <c r="E70" s="87">
        <v>44743</v>
      </c>
      <c r="F70">
        <f t="shared" ref="F70:F81" si="2">YEAR(E70)</f>
        <v>2022</v>
      </c>
      <c r="G70">
        <f t="shared" ref="G70:G81" si="3">MONTH(E70)</f>
        <v>7</v>
      </c>
      <c r="H70" t="s">
        <v>132</v>
      </c>
      <c r="I70" t="s">
        <v>581</v>
      </c>
      <c r="J70">
        <v>140</v>
      </c>
    </row>
    <row r="71" spans="5:10" x14ac:dyDescent="0.25">
      <c r="E71" s="87">
        <v>44774</v>
      </c>
      <c r="F71">
        <f t="shared" si="2"/>
        <v>2022</v>
      </c>
      <c r="G71">
        <f t="shared" si="3"/>
        <v>8</v>
      </c>
      <c r="H71" t="s">
        <v>132</v>
      </c>
      <c r="I71" t="s">
        <v>581</v>
      </c>
      <c r="J71">
        <v>140</v>
      </c>
    </row>
    <row r="72" spans="5:10" x14ac:dyDescent="0.25">
      <c r="E72" s="87">
        <v>44805</v>
      </c>
      <c r="F72">
        <f t="shared" si="2"/>
        <v>2022</v>
      </c>
      <c r="G72">
        <f t="shared" si="3"/>
        <v>9</v>
      </c>
      <c r="H72" t="s">
        <v>132</v>
      </c>
      <c r="I72" t="s">
        <v>581</v>
      </c>
      <c r="J72">
        <v>140</v>
      </c>
    </row>
    <row r="73" spans="5:10" x14ac:dyDescent="0.25">
      <c r="E73" s="87">
        <v>44835</v>
      </c>
      <c r="F73">
        <f t="shared" si="2"/>
        <v>2022</v>
      </c>
      <c r="G73">
        <f t="shared" si="3"/>
        <v>10</v>
      </c>
      <c r="H73" t="s">
        <v>132</v>
      </c>
      <c r="I73" t="s">
        <v>581</v>
      </c>
      <c r="J73">
        <v>140</v>
      </c>
    </row>
    <row r="74" spans="5:10" x14ac:dyDescent="0.25">
      <c r="E74" s="87">
        <v>44866</v>
      </c>
      <c r="F74">
        <f t="shared" si="2"/>
        <v>2022</v>
      </c>
      <c r="G74">
        <f t="shared" si="3"/>
        <v>11</v>
      </c>
      <c r="H74" t="s">
        <v>132</v>
      </c>
      <c r="I74" t="s">
        <v>581</v>
      </c>
      <c r="J74">
        <v>140</v>
      </c>
    </row>
    <row r="75" spans="5:10" x14ac:dyDescent="0.25">
      <c r="E75" s="87">
        <v>44896</v>
      </c>
      <c r="F75">
        <f t="shared" si="2"/>
        <v>2022</v>
      </c>
      <c r="G75">
        <f t="shared" si="3"/>
        <v>12</v>
      </c>
      <c r="H75" t="s">
        <v>132</v>
      </c>
      <c r="I75" t="s">
        <v>581</v>
      </c>
      <c r="J75">
        <v>140</v>
      </c>
    </row>
    <row r="76" spans="5:10" x14ac:dyDescent="0.25">
      <c r="E76" s="87">
        <v>44592</v>
      </c>
      <c r="F76">
        <f t="shared" si="2"/>
        <v>2022</v>
      </c>
      <c r="G76">
        <f t="shared" si="3"/>
        <v>1</v>
      </c>
      <c r="H76" t="s">
        <v>128</v>
      </c>
      <c r="I76" t="s">
        <v>580</v>
      </c>
      <c r="J76">
        <v>400</v>
      </c>
    </row>
    <row r="77" spans="5:10" x14ac:dyDescent="0.25">
      <c r="E77" s="87">
        <v>44648</v>
      </c>
      <c r="F77">
        <f t="shared" si="2"/>
        <v>2022</v>
      </c>
      <c r="G77">
        <f t="shared" si="3"/>
        <v>3</v>
      </c>
      <c r="H77" t="s">
        <v>128</v>
      </c>
      <c r="I77" t="s">
        <v>580</v>
      </c>
      <c r="J77">
        <v>840</v>
      </c>
    </row>
    <row r="78" spans="5:10" x14ac:dyDescent="0.25">
      <c r="E78" s="87">
        <v>44824</v>
      </c>
      <c r="F78">
        <f t="shared" si="2"/>
        <v>2022</v>
      </c>
      <c r="G78">
        <f t="shared" si="3"/>
        <v>9</v>
      </c>
      <c r="H78" t="s">
        <v>128</v>
      </c>
      <c r="I78" t="s">
        <v>581</v>
      </c>
      <c r="J78">
        <v>420</v>
      </c>
    </row>
    <row r="79" spans="5:10" x14ac:dyDescent="0.25">
      <c r="E79" s="87">
        <v>44924</v>
      </c>
      <c r="F79">
        <f t="shared" si="2"/>
        <v>2022</v>
      </c>
      <c r="G79">
        <f t="shared" si="3"/>
        <v>12</v>
      </c>
      <c r="H79" t="s">
        <v>128</v>
      </c>
      <c r="I79" t="s">
        <v>581</v>
      </c>
      <c r="J79">
        <v>840</v>
      </c>
    </row>
    <row r="80" spans="5:10" x14ac:dyDescent="0.25">
      <c r="E80" s="87">
        <v>44562</v>
      </c>
      <c r="F80">
        <f t="shared" si="2"/>
        <v>2022</v>
      </c>
      <c r="G80">
        <f t="shared" si="3"/>
        <v>1</v>
      </c>
      <c r="H80" t="s">
        <v>132</v>
      </c>
      <c r="I80" t="s">
        <v>580</v>
      </c>
      <c r="J80">
        <v>2160</v>
      </c>
    </row>
    <row r="81" spans="5:10" x14ac:dyDescent="0.25">
      <c r="E81" s="87">
        <v>44579</v>
      </c>
      <c r="F81">
        <f t="shared" si="2"/>
        <v>2022</v>
      </c>
      <c r="G81">
        <f t="shared" si="3"/>
        <v>1</v>
      </c>
      <c r="H81" t="s">
        <v>132</v>
      </c>
      <c r="I81" t="s">
        <v>580</v>
      </c>
      <c r="J81">
        <v>100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064F7-8297-4B2F-94D3-9E25E91C99EC}">
  <sheetPr codeName="Feuil2">
    <tabColor rgb="FF7030A0"/>
  </sheetPr>
  <dimension ref="A2:R153"/>
  <sheetViews>
    <sheetView showGridLines="0" tabSelected="1" zoomScale="80" zoomScaleNormal="80" workbookViewId="0">
      <selection activeCell="R12" sqref="R12"/>
    </sheetView>
  </sheetViews>
  <sheetFormatPr defaultColWidth="11.42578125" defaultRowHeight="15" x14ac:dyDescent="0.25"/>
  <cols>
    <col min="1" max="1" width="6" bestFit="1" customWidth="1"/>
    <col min="2" max="2" width="23.42578125" customWidth="1"/>
    <col min="15" max="15" width="8.85546875" customWidth="1"/>
    <col min="17" max="17" width="37.140625" customWidth="1"/>
  </cols>
  <sheetData>
    <row r="2" spans="1:18" ht="15.75" x14ac:dyDescent="0.25">
      <c r="A2" s="1"/>
      <c r="B2" s="1"/>
      <c r="C2" s="1"/>
      <c r="D2" s="1"/>
      <c r="E2" s="1"/>
      <c r="F2" s="2" t="s">
        <v>0</v>
      </c>
      <c r="G2" s="1"/>
      <c r="H2" s="1"/>
      <c r="I2" s="1"/>
      <c r="J2" s="1"/>
      <c r="K2" s="1"/>
      <c r="L2" s="1"/>
      <c r="M2" s="1"/>
      <c r="N2" s="1"/>
      <c r="O2" s="1"/>
    </row>
    <row r="3" spans="1:18" ht="15.75" x14ac:dyDescent="0.25">
      <c r="A3" s="1"/>
      <c r="B3" s="1"/>
      <c r="C3" s="1"/>
      <c r="D3" s="1"/>
      <c r="E3" s="1"/>
      <c r="F3" s="2"/>
      <c r="G3" s="1"/>
      <c r="H3" s="1"/>
      <c r="I3" s="1"/>
      <c r="J3" s="1"/>
      <c r="K3" s="1"/>
      <c r="L3" s="1"/>
      <c r="M3" s="3" t="s">
        <v>1</v>
      </c>
      <c r="N3" s="4">
        <v>1</v>
      </c>
      <c r="O3" s="4"/>
    </row>
    <row r="4" spans="1:18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3" t="s">
        <v>2</v>
      </c>
      <c r="N4" s="4">
        <v>2023</v>
      </c>
      <c r="O4" s="4"/>
    </row>
    <row r="5" spans="1:18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170</v>
      </c>
      <c r="P5" s="17" t="s">
        <v>169</v>
      </c>
      <c r="Q5" s="5" t="s">
        <v>171</v>
      </c>
    </row>
    <row r="6" spans="1:18" x14ac:dyDescent="0.25">
      <c r="A6" s="6">
        <v>1</v>
      </c>
      <c r="B6" s="6" t="s">
        <v>534</v>
      </c>
      <c r="C6" s="31" t="s">
        <v>187</v>
      </c>
      <c r="D6" s="31" t="s">
        <v>187</v>
      </c>
      <c r="E6" s="6">
        <v>260</v>
      </c>
      <c r="F6" s="31" t="s">
        <v>187</v>
      </c>
      <c r="G6" s="6">
        <v>260</v>
      </c>
      <c r="H6" s="95" t="s">
        <v>187</v>
      </c>
      <c r="I6" s="97"/>
      <c r="J6" s="6">
        <v>260</v>
      </c>
      <c r="K6" s="95" t="s">
        <v>187</v>
      </c>
      <c r="L6" s="97"/>
      <c r="M6" s="6">
        <v>390</v>
      </c>
      <c r="N6" s="6"/>
      <c r="O6" s="6"/>
      <c r="P6" s="18">
        <f>SUM(C6:O6)</f>
        <v>1170</v>
      </c>
      <c r="Q6" s="6"/>
      <c r="R6">
        <v>130</v>
      </c>
    </row>
    <row r="7" spans="1:18" x14ac:dyDescent="0.25">
      <c r="A7" s="6">
        <v>2</v>
      </c>
      <c r="B7" s="6" t="s">
        <v>18</v>
      </c>
      <c r="C7" s="6">
        <v>140</v>
      </c>
      <c r="D7" s="31" t="s">
        <v>187</v>
      </c>
      <c r="E7" s="6">
        <v>280</v>
      </c>
      <c r="F7" s="31" t="s">
        <v>187</v>
      </c>
      <c r="G7" s="6">
        <v>140</v>
      </c>
      <c r="H7" s="6">
        <v>140</v>
      </c>
      <c r="I7" s="6">
        <v>280</v>
      </c>
      <c r="J7" s="31" t="s">
        <v>187</v>
      </c>
      <c r="K7" s="6">
        <v>280</v>
      </c>
      <c r="L7" s="6"/>
      <c r="M7" s="6"/>
      <c r="N7" s="6"/>
      <c r="O7" s="6"/>
      <c r="P7" s="18">
        <f t="shared" ref="P7:P25" si="0">SUM(C7:O7)</f>
        <v>1260</v>
      </c>
      <c r="Q7" s="6"/>
      <c r="R7">
        <v>140</v>
      </c>
    </row>
    <row r="8" spans="1:18" x14ac:dyDescent="0.25">
      <c r="A8" s="6">
        <v>3</v>
      </c>
      <c r="B8" s="6" t="s">
        <v>19</v>
      </c>
      <c r="C8" s="95" t="s">
        <v>187</v>
      </c>
      <c r="D8" s="97"/>
      <c r="E8" s="6"/>
      <c r="F8" s="6"/>
      <c r="G8" s="6"/>
      <c r="H8" s="6"/>
      <c r="I8" s="6"/>
      <c r="J8" s="6"/>
      <c r="K8" s="6"/>
      <c r="L8" s="6"/>
      <c r="M8" s="6">
        <v>980</v>
      </c>
      <c r="N8" s="6"/>
      <c r="O8" s="6"/>
      <c r="P8" s="18">
        <f t="shared" si="0"/>
        <v>980</v>
      </c>
      <c r="Q8" s="6"/>
      <c r="R8">
        <v>140</v>
      </c>
    </row>
    <row r="9" spans="1:18" x14ac:dyDescent="0.25">
      <c r="A9" s="6">
        <v>4</v>
      </c>
      <c r="B9" s="6" t="s">
        <v>250</v>
      </c>
      <c r="C9" s="6">
        <v>140</v>
      </c>
      <c r="D9" s="6">
        <v>140</v>
      </c>
      <c r="E9" s="6">
        <v>140</v>
      </c>
      <c r="F9" s="6">
        <v>140</v>
      </c>
      <c r="G9" s="6">
        <v>140</v>
      </c>
      <c r="H9" s="31" t="s">
        <v>187</v>
      </c>
      <c r="I9" s="6">
        <v>140</v>
      </c>
      <c r="J9" s="6">
        <v>140</v>
      </c>
      <c r="K9" s="6">
        <v>280</v>
      </c>
      <c r="L9" s="6">
        <v>140</v>
      </c>
      <c r="M9" s="6">
        <v>140</v>
      </c>
      <c r="N9" s="6"/>
      <c r="O9" s="6"/>
      <c r="P9" s="18">
        <f t="shared" si="0"/>
        <v>1540</v>
      </c>
      <c r="Q9" s="6"/>
      <c r="R9">
        <v>140</v>
      </c>
    </row>
    <row r="10" spans="1:18" x14ac:dyDescent="0.25">
      <c r="A10" s="6">
        <v>5</v>
      </c>
      <c r="B10" s="6" t="s">
        <v>20</v>
      </c>
      <c r="C10" s="31" t="s">
        <v>187</v>
      </c>
      <c r="D10" s="6">
        <v>140</v>
      </c>
      <c r="E10" s="31" t="s">
        <v>187</v>
      </c>
      <c r="F10" s="6">
        <v>280</v>
      </c>
      <c r="G10" s="31" t="s">
        <v>187</v>
      </c>
      <c r="H10" s="6">
        <v>420</v>
      </c>
      <c r="I10" s="31" t="s">
        <v>187</v>
      </c>
      <c r="J10" s="31" t="s">
        <v>187</v>
      </c>
      <c r="K10" s="6">
        <v>280</v>
      </c>
      <c r="L10" s="6">
        <v>280</v>
      </c>
      <c r="M10" s="6"/>
      <c r="N10" s="6"/>
      <c r="O10" s="6"/>
      <c r="P10" s="18">
        <f t="shared" si="0"/>
        <v>1400</v>
      </c>
      <c r="Q10" s="6"/>
      <c r="R10">
        <v>140</v>
      </c>
    </row>
    <row r="11" spans="1:18" x14ac:dyDescent="0.25">
      <c r="A11" s="6">
        <v>6</v>
      </c>
      <c r="B11" s="6" t="s">
        <v>21</v>
      </c>
      <c r="C11" s="95" t="s">
        <v>187</v>
      </c>
      <c r="D11" s="96"/>
      <c r="E11" s="96"/>
      <c r="F11" s="96"/>
      <c r="G11" s="96"/>
      <c r="H11" s="96"/>
      <c r="I11" s="96"/>
      <c r="J11" s="97"/>
      <c r="K11" s="6">
        <v>1680</v>
      </c>
      <c r="L11" s="95" t="s">
        <v>187</v>
      </c>
      <c r="M11" s="96"/>
      <c r="N11" s="97"/>
      <c r="O11" s="6"/>
      <c r="P11" s="18">
        <f t="shared" si="0"/>
        <v>1680</v>
      </c>
      <c r="Q11" s="6"/>
      <c r="R11">
        <v>140</v>
      </c>
    </row>
    <row r="12" spans="1:18" x14ac:dyDescent="0.25">
      <c r="A12" s="6">
        <v>7</v>
      </c>
      <c r="B12" s="6" t="s">
        <v>22</v>
      </c>
      <c r="C12" s="6">
        <v>260</v>
      </c>
      <c r="D12" s="31" t="s">
        <v>187</v>
      </c>
      <c r="E12" s="6">
        <v>260</v>
      </c>
      <c r="F12" s="31" t="s">
        <v>187</v>
      </c>
      <c r="G12" s="31" t="s">
        <v>187</v>
      </c>
      <c r="H12" s="6">
        <v>260</v>
      </c>
      <c r="I12" s="31" t="s">
        <v>187</v>
      </c>
      <c r="J12" s="6"/>
      <c r="K12" s="6">
        <v>130</v>
      </c>
      <c r="L12" s="6">
        <v>260</v>
      </c>
      <c r="M12" s="6">
        <v>260</v>
      </c>
      <c r="N12" s="6"/>
      <c r="O12" s="6"/>
      <c r="P12" s="18">
        <f t="shared" si="0"/>
        <v>1430</v>
      </c>
      <c r="Q12" s="6"/>
      <c r="R12">
        <v>130</v>
      </c>
    </row>
    <row r="13" spans="1:18" x14ac:dyDescent="0.25">
      <c r="A13" s="6">
        <v>8</v>
      </c>
      <c r="B13" s="6" t="s">
        <v>23</v>
      </c>
      <c r="C13" s="6">
        <v>140</v>
      </c>
      <c r="D13" s="6">
        <v>280</v>
      </c>
      <c r="E13" s="31" t="s">
        <v>187</v>
      </c>
      <c r="F13" s="6">
        <v>140</v>
      </c>
      <c r="G13" s="6">
        <v>280</v>
      </c>
      <c r="H13" s="31" t="s">
        <v>187</v>
      </c>
      <c r="I13" s="6">
        <v>280</v>
      </c>
      <c r="J13" s="6">
        <v>140</v>
      </c>
      <c r="K13" s="95" t="s">
        <v>187</v>
      </c>
      <c r="L13" s="97"/>
      <c r="M13" s="6">
        <v>280</v>
      </c>
      <c r="N13" s="6"/>
      <c r="O13" s="6"/>
      <c r="P13" s="18">
        <f t="shared" si="0"/>
        <v>1540</v>
      </c>
      <c r="Q13" s="6"/>
      <c r="R13">
        <v>140</v>
      </c>
    </row>
    <row r="14" spans="1:18" x14ac:dyDescent="0.25">
      <c r="A14" s="6">
        <v>9</v>
      </c>
      <c r="B14" s="6" t="s">
        <v>24</v>
      </c>
      <c r="C14" s="6">
        <v>420</v>
      </c>
      <c r="D14" s="6">
        <v>280</v>
      </c>
      <c r="E14" s="6">
        <v>140</v>
      </c>
      <c r="F14" s="6">
        <v>140</v>
      </c>
      <c r="G14" s="95" t="s">
        <v>187</v>
      </c>
      <c r="H14" s="97"/>
      <c r="I14" s="6">
        <v>280</v>
      </c>
      <c r="J14" s="6">
        <v>280</v>
      </c>
      <c r="K14" s="31" t="s">
        <v>187</v>
      </c>
      <c r="L14" s="6">
        <v>280</v>
      </c>
      <c r="M14" s="6"/>
      <c r="N14" s="6"/>
      <c r="O14" s="6"/>
      <c r="P14" s="18">
        <f t="shared" si="0"/>
        <v>1820</v>
      </c>
      <c r="Q14" s="6"/>
      <c r="R14">
        <v>140</v>
      </c>
    </row>
    <row r="15" spans="1:18" x14ac:dyDescent="0.25">
      <c r="A15" s="6">
        <v>10</v>
      </c>
      <c r="B15" s="6" t="s">
        <v>25</v>
      </c>
      <c r="C15" s="6">
        <v>140</v>
      </c>
      <c r="D15" s="6">
        <v>140</v>
      </c>
      <c r="E15" s="6">
        <v>280</v>
      </c>
      <c r="F15" s="6">
        <v>140</v>
      </c>
      <c r="G15" s="6">
        <v>140</v>
      </c>
      <c r="H15" s="95" t="s">
        <v>187</v>
      </c>
      <c r="I15" s="97"/>
      <c r="J15" s="6">
        <v>280</v>
      </c>
      <c r="K15" s="6">
        <v>140</v>
      </c>
      <c r="L15" s="6">
        <v>140</v>
      </c>
      <c r="M15" s="6">
        <v>140</v>
      </c>
      <c r="N15" s="6"/>
      <c r="O15" s="6"/>
      <c r="P15" s="18">
        <f t="shared" si="0"/>
        <v>1540</v>
      </c>
      <c r="Q15" s="6"/>
      <c r="R15">
        <v>140</v>
      </c>
    </row>
    <row r="16" spans="1:18" x14ac:dyDescent="0.25">
      <c r="A16" s="6">
        <v>11</v>
      </c>
      <c r="B16" s="6" t="s">
        <v>26</v>
      </c>
      <c r="C16" s="95" t="s">
        <v>187</v>
      </c>
      <c r="D16" s="96"/>
      <c r="E16" s="96"/>
      <c r="F16" s="96"/>
      <c r="G16" s="96"/>
      <c r="H16" s="96"/>
      <c r="I16" s="96"/>
      <c r="J16" s="96"/>
      <c r="K16" s="96"/>
      <c r="L16" s="97"/>
      <c r="M16" s="6">
        <v>1560</v>
      </c>
      <c r="N16" s="6"/>
      <c r="O16" s="31"/>
      <c r="P16" s="18">
        <f t="shared" si="0"/>
        <v>1560</v>
      </c>
      <c r="Q16" s="6" t="s">
        <v>435</v>
      </c>
      <c r="R16">
        <v>140</v>
      </c>
    </row>
    <row r="17" spans="1:18" x14ac:dyDescent="0.25">
      <c r="A17" s="6">
        <v>12</v>
      </c>
      <c r="B17" s="6" t="s">
        <v>27</v>
      </c>
      <c r="C17" s="95" t="s">
        <v>187</v>
      </c>
      <c r="D17" s="96"/>
      <c r="E17" s="97"/>
      <c r="F17" s="6">
        <v>840</v>
      </c>
      <c r="G17" s="95" t="s">
        <v>187</v>
      </c>
      <c r="H17" s="96"/>
      <c r="I17" s="96"/>
      <c r="J17" s="97"/>
      <c r="K17" s="6">
        <v>840</v>
      </c>
      <c r="L17" s="95" t="s">
        <v>187</v>
      </c>
      <c r="M17" s="96"/>
      <c r="N17" s="97"/>
      <c r="O17" s="6"/>
      <c r="P17" s="18">
        <f t="shared" si="0"/>
        <v>1680</v>
      </c>
      <c r="Q17" s="6"/>
      <c r="R17">
        <v>140</v>
      </c>
    </row>
    <row r="18" spans="1:18" x14ac:dyDescent="0.25">
      <c r="A18" s="6">
        <v>13</v>
      </c>
      <c r="B18" s="6" t="s">
        <v>531</v>
      </c>
      <c r="C18" s="31" t="s">
        <v>187</v>
      </c>
      <c r="D18" s="6">
        <v>280</v>
      </c>
      <c r="E18" s="31" t="s">
        <v>187</v>
      </c>
      <c r="F18" s="6">
        <v>140</v>
      </c>
      <c r="G18" s="6">
        <v>280</v>
      </c>
      <c r="H18" s="31" t="s">
        <v>187</v>
      </c>
      <c r="I18" s="6">
        <v>280</v>
      </c>
      <c r="J18" s="6">
        <v>140</v>
      </c>
      <c r="K18" s="6">
        <v>280</v>
      </c>
      <c r="L18" s="95" t="s">
        <v>187</v>
      </c>
      <c r="M18" s="97"/>
      <c r="N18" s="6"/>
      <c r="O18" s="6">
        <v>150</v>
      </c>
      <c r="P18" s="18">
        <f t="shared" si="0"/>
        <v>1550</v>
      </c>
      <c r="Q18" s="6"/>
      <c r="R18">
        <v>140</v>
      </c>
    </row>
    <row r="19" spans="1:18" x14ac:dyDescent="0.25">
      <c r="A19" s="6">
        <v>14</v>
      </c>
      <c r="B19" s="6" t="s">
        <v>267</v>
      </c>
      <c r="C19" s="95" t="s">
        <v>187</v>
      </c>
      <c r="D19" s="96"/>
      <c r="E19" s="96"/>
      <c r="F19" s="96"/>
      <c r="G19" s="97"/>
      <c r="H19" s="6">
        <v>2520</v>
      </c>
      <c r="I19" s="6"/>
      <c r="J19" s="6"/>
      <c r="K19" s="6"/>
      <c r="L19" s="6"/>
      <c r="M19" s="6"/>
      <c r="N19" s="6"/>
      <c r="O19" s="6"/>
      <c r="P19" s="18">
        <f t="shared" si="0"/>
        <v>2520</v>
      </c>
      <c r="Q19" s="6"/>
      <c r="R19">
        <v>140</v>
      </c>
    </row>
    <row r="20" spans="1:18" x14ac:dyDescent="0.25">
      <c r="A20" s="6">
        <v>15</v>
      </c>
      <c r="B20" s="6" t="s">
        <v>29</v>
      </c>
      <c r="C20" s="6">
        <v>130</v>
      </c>
      <c r="D20" s="6">
        <v>130</v>
      </c>
      <c r="E20" s="6">
        <v>130</v>
      </c>
      <c r="F20" s="6">
        <v>130</v>
      </c>
      <c r="G20" s="6">
        <v>130</v>
      </c>
      <c r="H20" s="6">
        <v>130</v>
      </c>
      <c r="I20" s="6">
        <v>260</v>
      </c>
      <c r="J20" s="31" t="s">
        <v>187</v>
      </c>
      <c r="K20" s="6">
        <v>130</v>
      </c>
      <c r="L20" s="6">
        <v>260</v>
      </c>
      <c r="M20" s="6"/>
      <c r="N20" s="6"/>
      <c r="O20" s="6"/>
      <c r="P20" s="18">
        <f t="shared" si="0"/>
        <v>1430</v>
      </c>
      <c r="Q20" s="6"/>
      <c r="R20">
        <v>130</v>
      </c>
    </row>
    <row r="21" spans="1:18" x14ac:dyDescent="0.25">
      <c r="A21" s="6">
        <v>16</v>
      </c>
      <c r="B21" s="6" t="s">
        <v>526</v>
      </c>
      <c r="C21" s="6">
        <v>140</v>
      </c>
      <c r="D21" s="6">
        <v>140</v>
      </c>
      <c r="E21" s="31" t="s">
        <v>187</v>
      </c>
      <c r="F21" s="6">
        <v>140</v>
      </c>
      <c r="G21" s="6">
        <v>280</v>
      </c>
      <c r="H21" s="31" t="s">
        <v>187</v>
      </c>
      <c r="I21" s="6">
        <v>140</v>
      </c>
      <c r="J21" s="6">
        <v>280</v>
      </c>
      <c r="K21" s="6">
        <v>140</v>
      </c>
      <c r="L21" s="6">
        <v>140</v>
      </c>
      <c r="M21" s="6">
        <v>140</v>
      </c>
      <c r="N21" s="6"/>
      <c r="O21" s="6"/>
      <c r="P21" s="18">
        <f t="shared" si="0"/>
        <v>1540</v>
      </c>
      <c r="Q21" s="6"/>
      <c r="R21">
        <v>140</v>
      </c>
    </row>
    <row r="22" spans="1:18" x14ac:dyDescent="0.25">
      <c r="A22" s="6">
        <v>17</v>
      </c>
      <c r="B22" s="6" t="s">
        <v>31</v>
      </c>
      <c r="C22" s="6">
        <v>1680</v>
      </c>
      <c r="D22" s="95" t="s">
        <v>187</v>
      </c>
      <c r="E22" s="96"/>
      <c r="F22" s="96"/>
      <c r="G22" s="96"/>
      <c r="H22" s="96"/>
      <c r="I22" s="96"/>
      <c r="J22" s="96"/>
      <c r="K22" s="96"/>
      <c r="L22" s="96"/>
      <c r="M22" s="96"/>
      <c r="N22" s="97"/>
      <c r="O22" s="6"/>
      <c r="P22" s="18">
        <f t="shared" si="0"/>
        <v>1680</v>
      </c>
      <c r="Q22" s="6"/>
      <c r="R22">
        <v>140</v>
      </c>
    </row>
    <row r="23" spans="1:18" x14ac:dyDescent="0.25">
      <c r="A23" s="6">
        <v>18</v>
      </c>
      <c r="B23" s="6" t="s">
        <v>32</v>
      </c>
      <c r="C23" s="102" t="s">
        <v>187</v>
      </c>
      <c r="D23" s="104"/>
      <c r="E23" s="103"/>
      <c r="F23" s="24">
        <v>1680</v>
      </c>
      <c r="G23" s="102" t="s">
        <v>187</v>
      </c>
      <c r="H23" s="104"/>
      <c r="I23" s="104"/>
      <c r="J23" s="104"/>
      <c r="K23" s="104"/>
      <c r="L23" s="104"/>
      <c r="M23" s="104"/>
      <c r="N23" s="104"/>
      <c r="O23" s="110"/>
      <c r="P23" s="18">
        <f t="shared" si="0"/>
        <v>1680</v>
      </c>
      <c r="Q23" s="6"/>
      <c r="R23">
        <v>140</v>
      </c>
    </row>
    <row r="24" spans="1:18" x14ac:dyDescent="0.25">
      <c r="A24" s="6">
        <v>19</v>
      </c>
      <c r="B24" s="6" t="s">
        <v>33</v>
      </c>
      <c r="C24" s="95" t="s">
        <v>187</v>
      </c>
      <c r="D24" s="96"/>
      <c r="E24" s="96"/>
      <c r="F24" s="96"/>
      <c r="G24" s="97"/>
      <c r="H24" s="6">
        <v>1300</v>
      </c>
      <c r="I24" s="6"/>
      <c r="J24" s="6"/>
      <c r="K24" s="6"/>
      <c r="L24" s="6"/>
      <c r="M24" s="6"/>
      <c r="N24" s="6"/>
      <c r="O24" s="6"/>
      <c r="P24" s="18">
        <f t="shared" si="0"/>
        <v>1300</v>
      </c>
      <c r="Q24" s="6"/>
      <c r="R24">
        <v>130</v>
      </c>
    </row>
    <row r="25" spans="1:18" x14ac:dyDescent="0.25">
      <c r="A25" s="6">
        <v>20</v>
      </c>
      <c r="B25" s="6" t="s">
        <v>34</v>
      </c>
      <c r="C25" s="95" t="s">
        <v>187</v>
      </c>
      <c r="D25" s="96"/>
      <c r="E25" s="96"/>
      <c r="F25" s="97"/>
      <c r="G25" s="6">
        <v>700</v>
      </c>
      <c r="H25" s="95" t="s">
        <v>187</v>
      </c>
      <c r="I25" s="96"/>
      <c r="J25" s="97"/>
      <c r="K25" s="6">
        <v>560</v>
      </c>
      <c r="L25" s="6"/>
      <c r="M25" s="6"/>
      <c r="N25" s="6"/>
      <c r="O25" s="6"/>
      <c r="P25" s="18">
        <f t="shared" si="0"/>
        <v>1260</v>
      </c>
      <c r="Q25" s="6"/>
      <c r="R25">
        <v>140</v>
      </c>
    </row>
    <row r="26" spans="1:18" ht="15.75" thickBot="1" x14ac:dyDescent="0.3">
      <c r="A26" s="105" t="s">
        <v>169</v>
      </c>
      <c r="B26" s="106"/>
      <c r="C26" s="20">
        <f t="shared" ref="C26:N26" si="1">SUM(C6:C25)</f>
        <v>3190</v>
      </c>
      <c r="D26" s="20">
        <f t="shared" si="1"/>
        <v>1530</v>
      </c>
      <c r="E26" s="20">
        <f t="shared" si="1"/>
        <v>1490</v>
      </c>
      <c r="F26" s="20">
        <f t="shared" si="1"/>
        <v>3770</v>
      </c>
      <c r="G26" s="20">
        <f t="shared" si="1"/>
        <v>2350</v>
      </c>
      <c r="H26" s="20">
        <f t="shared" si="1"/>
        <v>4770</v>
      </c>
      <c r="I26" s="20">
        <f t="shared" si="1"/>
        <v>1660</v>
      </c>
      <c r="J26" s="20">
        <f t="shared" si="1"/>
        <v>1520</v>
      </c>
      <c r="K26" s="20">
        <f t="shared" si="1"/>
        <v>4740</v>
      </c>
      <c r="L26" s="20">
        <f t="shared" si="1"/>
        <v>1500</v>
      </c>
      <c r="M26" s="20">
        <f t="shared" si="1"/>
        <v>3890</v>
      </c>
      <c r="N26" s="20">
        <f t="shared" si="1"/>
        <v>0</v>
      </c>
      <c r="O26" s="20">
        <f t="shared" ref="O26" si="2">SUM(O6:O25)</f>
        <v>150</v>
      </c>
      <c r="P26" s="19">
        <f>SUM(P6:P25)</f>
        <v>30560</v>
      </c>
    </row>
    <row r="27" spans="1:18" ht="15.75" thickTop="1" x14ac:dyDescent="0.25"/>
    <row r="28" spans="1:18" ht="15.75" x14ac:dyDescent="0.25">
      <c r="A28" s="1"/>
      <c r="B28" s="1"/>
      <c r="C28" s="1"/>
      <c r="D28" s="1"/>
      <c r="E28" s="1"/>
      <c r="F28" s="2" t="s">
        <v>0</v>
      </c>
      <c r="G28" s="1"/>
      <c r="H28" s="1"/>
      <c r="I28" s="1"/>
      <c r="J28" s="1"/>
      <c r="K28" s="1"/>
      <c r="L28" s="1"/>
      <c r="M28" s="1"/>
      <c r="N28" s="1"/>
      <c r="O28" s="1"/>
    </row>
    <row r="29" spans="1:18" ht="15.75" x14ac:dyDescent="0.25">
      <c r="A29" s="1"/>
      <c r="B29" s="1"/>
      <c r="C29" s="1"/>
      <c r="D29" s="1"/>
      <c r="E29" s="1"/>
      <c r="F29" s="2"/>
      <c r="G29" s="1"/>
      <c r="H29" s="1"/>
      <c r="I29" s="1"/>
      <c r="J29" s="1"/>
      <c r="K29" s="1"/>
      <c r="L29" s="1"/>
      <c r="M29" s="3" t="s">
        <v>1</v>
      </c>
      <c r="N29" s="4">
        <v>2</v>
      </c>
      <c r="O29" s="4"/>
    </row>
    <row r="30" spans="1:1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" t="s">
        <v>2</v>
      </c>
      <c r="N30" s="4">
        <v>2023</v>
      </c>
      <c r="O30" s="4"/>
    </row>
    <row r="31" spans="1:18" x14ac:dyDescent="0.25">
      <c r="A31" s="5" t="s">
        <v>3</v>
      </c>
      <c r="B31" s="5" t="s">
        <v>4</v>
      </c>
      <c r="C31" s="5" t="s">
        <v>5</v>
      </c>
      <c r="D31" s="5" t="s">
        <v>6</v>
      </c>
      <c r="E31" s="5" t="s">
        <v>7</v>
      </c>
      <c r="F31" s="5" t="s">
        <v>8</v>
      </c>
      <c r="G31" s="5" t="s">
        <v>9</v>
      </c>
      <c r="H31" s="5" t="s">
        <v>10</v>
      </c>
      <c r="I31" s="5" t="s">
        <v>11</v>
      </c>
      <c r="J31" s="5" t="s">
        <v>12</v>
      </c>
      <c r="K31" s="5" t="s">
        <v>13</v>
      </c>
      <c r="L31" s="5" t="s">
        <v>14</v>
      </c>
      <c r="M31" s="5" t="s">
        <v>15</v>
      </c>
      <c r="N31" s="5" t="s">
        <v>16</v>
      </c>
      <c r="O31" s="5" t="s">
        <v>170</v>
      </c>
      <c r="P31" s="17" t="s">
        <v>169</v>
      </c>
      <c r="Q31" s="5" t="s">
        <v>171</v>
      </c>
    </row>
    <row r="32" spans="1:18" x14ac:dyDescent="0.25">
      <c r="A32" s="6">
        <v>1</v>
      </c>
      <c r="B32" s="6" t="s">
        <v>35</v>
      </c>
      <c r="C32" s="6">
        <v>280</v>
      </c>
      <c r="D32" s="31" t="s">
        <v>187</v>
      </c>
      <c r="E32" s="6">
        <v>280</v>
      </c>
      <c r="F32" s="31" t="s">
        <v>187</v>
      </c>
      <c r="G32" s="6">
        <v>140</v>
      </c>
      <c r="H32" s="6">
        <v>140</v>
      </c>
      <c r="I32" s="6">
        <v>140</v>
      </c>
      <c r="J32" s="6">
        <v>140</v>
      </c>
      <c r="K32" s="31" t="s">
        <v>187</v>
      </c>
      <c r="L32" s="6">
        <v>280</v>
      </c>
      <c r="M32" s="6"/>
      <c r="N32" s="6"/>
      <c r="O32" s="6">
        <v>100</v>
      </c>
      <c r="P32" s="18">
        <f>SUM(C32:O32)</f>
        <v>1500</v>
      </c>
      <c r="Q32" s="6"/>
    </row>
    <row r="33" spans="1:17" x14ac:dyDescent="0.25">
      <c r="A33" s="6">
        <v>2</v>
      </c>
      <c r="B33" s="6" t="s">
        <v>36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18">
        <f t="shared" ref="P33:P48" si="3">SUM(C33:O33)</f>
        <v>0</v>
      </c>
      <c r="Q33" s="6"/>
    </row>
    <row r="34" spans="1:17" x14ac:dyDescent="0.25">
      <c r="A34" s="6">
        <v>3</v>
      </c>
      <c r="B34" s="6" t="s">
        <v>37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18">
        <f t="shared" si="3"/>
        <v>0</v>
      </c>
      <c r="Q34" s="6"/>
    </row>
    <row r="35" spans="1:17" x14ac:dyDescent="0.25">
      <c r="A35" s="6">
        <v>4</v>
      </c>
      <c r="B35" s="6" t="s">
        <v>38</v>
      </c>
      <c r="C35" s="31" t="s">
        <v>187</v>
      </c>
      <c r="D35" s="6">
        <v>420</v>
      </c>
      <c r="E35" s="6">
        <v>280</v>
      </c>
      <c r="F35" s="95" t="s">
        <v>187</v>
      </c>
      <c r="G35" s="97"/>
      <c r="H35" s="6">
        <v>280</v>
      </c>
      <c r="I35" s="95" t="s">
        <v>187</v>
      </c>
      <c r="J35" s="97"/>
      <c r="K35" s="6">
        <v>280</v>
      </c>
      <c r="L35" s="6"/>
      <c r="M35" s="6">
        <v>280</v>
      </c>
      <c r="N35" s="6"/>
      <c r="O35" s="6"/>
      <c r="P35" s="18">
        <f t="shared" si="3"/>
        <v>1540</v>
      </c>
      <c r="Q35" s="6"/>
    </row>
    <row r="36" spans="1:17" x14ac:dyDescent="0.25">
      <c r="A36" s="6">
        <v>5</v>
      </c>
      <c r="B36" s="6" t="s">
        <v>39</v>
      </c>
      <c r="C36" s="6">
        <v>140</v>
      </c>
      <c r="D36" s="6">
        <v>280</v>
      </c>
      <c r="E36" s="31" t="s">
        <v>187</v>
      </c>
      <c r="F36" s="6">
        <v>140</v>
      </c>
      <c r="G36" s="31" t="s">
        <v>187</v>
      </c>
      <c r="H36" s="6">
        <v>280</v>
      </c>
      <c r="I36" s="31" t="s">
        <v>187</v>
      </c>
      <c r="J36" s="6">
        <v>280</v>
      </c>
      <c r="K36" s="31" t="s">
        <v>187</v>
      </c>
      <c r="L36" s="6">
        <v>280</v>
      </c>
      <c r="M36" s="6"/>
      <c r="N36" s="6"/>
      <c r="O36" s="6">
        <v>200</v>
      </c>
      <c r="P36" s="18">
        <f t="shared" si="3"/>
        <v>1600</v>
      </c>
      <c r="Q36" s="6"/>
    </row>
    <row r="37" spans="1:17" x14ac:dyDescent="0.25">
      <c r="A37" s="6">
        <v>6</v>
      </c>
      <c r="B37" s="6" t="s">
        <v>40</v>
      </c>
      <c r="C37" s="95" t="s">
        <v>187</v>
      </c>
      <c r="D37" s="97"/>
      <c r="E37" s="6">
        <v>1680</v>
      </c>
      <c r="F37" s="6"/>
      <c r="G37" s="6"/>
      <c r="H37" s="6"/>
      <c r="I37" s="6"/>
      <c r="J37" s="6"/>
      <c r="K37" s="6"/>
      <c r="L37" s="6"/>
      <c r="M37" s="6"/>
      <c r="N37" s="6"/>
      <c r="O37" s="6">
        <v>50</v>
      </c>
      <c r="P37" s="18">
        <f t="shared" si="3"/>
        <v>1730</v>
      </c>
      <c r="Q37" s="6"/>
    </row>
    <row r="38" spans="1:17" x14ac:dyDescent="0.25">
      <c r="A38" s="6">
        <v>7</v>
      </c>
      <c r="B38" s="6" t="s">
        <v>41</v>
      </c>
      <c r="C38" s="95" t="s">
        <v>187</v>
      </c>
      <c r="D38" s="96"/>
      <c r="E38" s="96"/>
      <c r="F38" s="97"/>
      <c r="G38" s="6">
        <v>560</v>
      </c>
      <c r="H38" s="6">
        <v>140</v>
      </c>
      <c r="I38" s="31" t="s">
        <v>187</v>
      </c>
      <c r="J38" s="6">
        <v>420</v>
      </c>
      <c r="K38" s="31" t="s">
        <v>187</v>
      </c>
      <c r="L38" s="6">
        <v>280</v>
      </c>
      <c r="M38" s="6"/>
      <c r="N38" s="6"/>
      <c r="O38" s="6">
        <v>150</v>
      </c>
      <c r="P38" s="18">
        <f t="shared" si="3"/>
        <v>1550</v>
      </c>
      <c r="Q38" s="6"/>
    </row>
    <row r="39" spans="1:17" x14ac:dyDescent="0.25">
      <c r="A39" s="6">
        <v>8</v>
      </c>
      <c r="B39" s="6" t="s">
        <v>42</v>
      </c>
      <c r="C39" s="24">
        <v>1680</v>
      </c>
      <c r="D39" s="102" t="s">
        <v>187</v>
      </c>
      <c r="E39" s="104"/>
      <c r="F39" s="104"/>
      <c r="G39" s="104"/>
      <c r="H39" s="103"/>
      <c r="I39" s="24">
        <v>1680</v>
      </c>
      <c r="J39" s="102" t="s">
        <v>187</v>
      </c>
      <c r="K39" s="104"/>
      <c r="L39" s="104"/>
      <c r="M39" s="104"/>
      <c r="N39" s="103"/>
      <c r="O39" s="24"/>
      <c r="P39" s="24">
        <f t="shared" si="3"/>
        <v>3360</v>
      </c>
      <c r="Q39" s="6"/>
    </row>
    <row r="40" spans="1:17" x14ac:dyDescent="0.25">
      <c r="A40" s="6">
        <v>9</v>
      </c>
      <c r="B40" s="6" t="s">
        <v>43</v>
      </c>
      <c r="C40" s="95" t="s">
        <v>187</v>
      </c>
      <c r="D40" s="96"/>
      <c r="E40" s="96"/>
      <c r="F40" s="96"/>
      <c r="G40" s="96"/>
      <c r="H40" s="96"/>
      <c r="I40" s="96"/>
      <c r="J40" s="97"/>
      <c r="K40" s="6">
        <v>1820</v>
      </c>
      <c r="L40" s="6"/>
      <c r="M40" s="6"/>
      <c r="N40" s="6"/>
      <c r="O40" s="6"/>
      <c r="P40" s="18">
        <f t="shared" si="3"/>
        <v>1820</v>
      </c>
      <c r="Q40" s="6"/>
    </row>
    <row r="41" spans="1:17" x14ac:dyDescent="0.25">
      <c r="A41" s="6">
        <v>10</v>
      </c>
      <c r="B41" s="6" t="s">
        <v>542</v>
      </c>
      <c r="C41" s="95" t="s">
        <v>187</v>
      </c>
      <c r="D41" s="97"/>
      <c r="E41" s="6">
        <v>560</v>
      </c>
      <c r="F41" s="31" t="s">
        <v>187</v>
      </c>
      <c r="G41" s="31" t="s">
        <v>187</v>
      </c>
      <c r="H41" s="6">
        <v>700</v>
      </c>
      <c r="I41" s="95" t="s">
        <v>187</v>
      </c>
      <c r="J41" s="97"/>
      <c r="K41" s="6">
        <v>840</v>
      </c>
      <c r="L41" s="95" t="s">
        <v>187</v>
      </c>
      <c r="M41" s="96"/>
      <c r="N41" s="96"/>
      <c r="O41" s="97"/>
      <c r="P41" s="18">
        <f t="shared" si="3"/>
        <v>2100</v>
      </c>
      <c r="Q41" s="6"/>
    </row>
    <row r="42" spans="1:17" x14ac:dyDescent="0.25">
      <c r="A42" s="6">
        <v>11</v>
      </c>
      <c r="B42" s="6" t="s">
        <v>45</v>
      </c>
      <c r="C42" s="102" t="s">
        <v>187</v>
      </c>
      <c r="D42" s="104"/>
      <c r="E42" s="104"/>
      <c r="F42" s="104"/>
      <c r="G42" s="104"/>
      <c r="H42" s="104"/>
      <c r="I42" s="24">
        <v>840</v>
      </c>
      <c r="J42" s="102" t="s">
        <v>187</v>
      </c>
      <c r="K42" s="104"/>
      <c r="L42" s="104"/>
      <c r="M42" s="104"/>
      <c r="N42" s="103"/>
      <c r="O42" s="24">
        <v>50</v>
      </c>
      <c r="P42" s="30">
        <f t="shared" si="3"/>
        <v>890</v>
      </c>
      <c r="Q42" s="6"/>
    </row>
    <row r="43" spans="1:17" x14ac:dyDescent="0.25">
      <c r="A43" s="6">
        <v>12</v>
      </c>
      <c r="B43" s="6" t="s">
        <v>46</v>
      </c>
      <c r="C43" s="95" t="s">
        <v>187</v>
      </c>
      <c r="D43" s="96"/>
      <c r="E43" s="96"/>
      <c r="F43" s="96"/>
      <c r="G43" s="97"/>
      <c r="H43" s="6">
        <v>1680</v>
      </c>
      <c r="I43" s="95" t="s">
        <v>187</v>
      </c>
      <c r="J43" s="96"/>
      <c r="K43" s="96"/>
      <c r="L43" s="96"/>
      <c r="M43" s="96"/>
      <c r="N43" s="97"/>
      <c r="O43" s="6">
        <v>50</v>
      </c>
      <c r="P43" s="18">
        <f t="shared" si="3"/>
        <v>1730</v>
      </c>
      <c r="Q43" s="6"/>
    </row>
    <row r="44" spans="1:17" x14ac:dyDescent="0.25">
      <c r="A44" s="6">
        <v>13</v>
      </c>
      <c r="B44" s="6" t="s">
        <v>47</v>
      </c>
      <c r="C44" s="24">
        <v>900</v>
      </c>
      <c r="D44" s="102" t="s">
        <v>187</v>
      </c>
      <c r="E44" s="104"/>
      <c r="F44" s="104"/>
      <c r="G44" s="104"/>
      <c r="H44" s="103"/>
      <c r="I44" s="102" t="s">
        <v>187</v>
      </c>
      <c r="J44" s="104"/>
      <c r="K44" s="104"/>
      <c r="L44" s="103"/>
      <c r="M44" s="24">
        <v>900</v>
      </c>
      <c r="N44" s="32" t="s">
        <v>187</v>
      </c>
      <c r="O44" s="6">
        <v>250</v>
      </c>
      <c r="P44" s="24">
        <f t="shared" si="3"/>
        <v>2050</v>
      </c>
      <c r="Q44" s="6" t="s">
        <v>264</v>
      </c>
    </row>
    <row r="45" spans="1:17" x14ac:dyDescent="0.25">
      <c r="A45" s="6">
        <v>14</v>
      </c>
      <c r="B45" s="6" t="s">
        <v>48</v>
      </c>
      <c r="C45" s="102" t="s">
        <v>187</v>
      </c>
      <c r="D45" s="104"/>
      <c r="E45" s="103"/>
      <c r="F45" s="24">
        <v>840</v>
      </c>
      <c r="G45" s="102" t="s">
        <v>187</v>
      </c>
      <c r="H45" s="104"/>
      <c r="I45" s="102" t="s">
        <v>187</v>
      </c>
      <c r="J45" s="104"/>
      <c r="K45" s="103"/>
      <c r="L45" s="38">
        <v>840</v>
      </c>
      <c r="M45" s="102" t="s">
        <v>187</v>
      </c>
      <c r="N45" s="103"/>
      <c r="O45" s="38">
        <v>50</v>
      </c>
      <c r="P45" s="38">
        <f t="shared" si="3"/>
        <v>1730</v>
      </c>
      <c r="Q45" s="6"/>
    </row>
    <row r="46" spans="1:17" x14ac:dyDescent="0.25">
      <c r="A46" s="6">
        <v>15</v>
      </c>
      <c r="B46" s="6" t="s">
        <v>49</v>
      </c>
      <c r="C46" s="6">
        <v>140</v>
      </c>
      <c r="D46" s="6">
        <v>280</v>
      </c>
      <c r="E46" s="6" t="s">
        <v>187</v>
      </c>
      <c r="F46" s="6">
        <v>140</v>
      </c>
      <c r="G46" s="6">
        <v>280</v>
      </c>
      <c r="H46" s="31" t="s">
        <v>187</v>
      </c>
      <c r="I46" s="6">
        <v>280</v>
      </c>
      <c r="J46" s="6">
        <v>140</v>
      </c>
      <c r="K46" s="95" t="s">
        <v>187</v>
      </c>
      <c r="L46" s="97"/>
      <c r="M46" s="6">
        <v>280</v>
      </c>
      <c r="N46" s="6"/>
      <c r="O46" s="6">
        <v>250</v>
      </c>
      <c r="P46" s="18">
        <f t="shared" si="3"/>
        <v>1790</v>
      </c>
      <c r="Q46" s="6"/>
    </row>
    <row r="47" spans="1:17" x14ac:dyDescent="0.25">
      <c r="A47" s="6">
        <v>16</v>
      </c>
      <c r="B47" s="6" t="s">
        <v>50</v>
      </c>
      <c r="C47" s="24">
        <v>900</v>
      </c>
      <c r="D47" s="102" t="s">
        <v>187</v>
      </c>
      <c r="E47" s="104"/>
      <c r="F47" s="104"/>
      <c r="G47" s="104"/>
      <c r="H47" s="103"/>
      <c r="I47" s="24">
        <v>900</v>
      </c>
      <c r="J47" s="102" t="s">
        <v>187</v>
      </c>
      <c r="K47" s="104"/>
      <c r="L47" s="104"/>
      <c r="M47" s="104"/>
      <c r="N47" s="103"/>
      <c r="O47" s="24">
        <v>50</v>
      </c>
      <c r="P47" s="24">
        <f t="shared" si="3"/>
        <v>1850</v>
      </c>
      <c r="Q47" s="6"/>
    </row>
    <row r="48" spans="1:17" x14ac:dyDescent="0.25">
      <c r="A48" s="6">
        <v>17</v>
      </c>
      <c r="B48" s="6" t="s">
        <v>51</v>
      </c>
      <c r="C48" s="31" t="s">
        <v>187</v>
      </c>
      <c r="D48" s="95" t="s">
        <v>187</v>
      </c>
      <c r="E48" s="96"/>
      <c r="F48" s="96"/>
      <c r="G48" s="97"/>
      <c r="H48" s="6">
        <v>750</v>
      </c>
      <c r="I48" s="95" t="s">
        <v>187</v>
      </c>
      <c r="J48" s="96"/>
      <c r="K48" s="96"/>
      <c r="L48" s="97"/>
      <c r="M48" s="6">
        <v>900</v>
      </c>
      <c r="N48" s="31" t="s">
        <v>187</v>
      </c>
      <c r="O48" s="6"/>
      <c r="P48" s="18">
        <f t="shared" si="3"/>
        <v>1650</v>
      </c>
      <c r="Q48" s="6"/>
    </row>
    <row r="49" spans="1:17" ht="15.75" thickBot="1" x14ac:dyDescent="0.3">
      <c r="A49" s="105" t="s">
        <v>169</v>
      </c>
      <c r="B49" s="106"/>
      <c r="C49" s="20">
        <f>SUM(C29:C48)</f>
        <v>4040</v>
      </c>
      <c r="D49" s="20">
        <f t="shared" ref="D49:N49" si="4">SUM(D29:D48)</f>
        <v>980</v>
      </c>
      <c r="E49" s="20">
        <f t="shared" si="4"/>
        <v>2800</v>
      </c>
      <c r="F49" s="20">
        <f t="shared" si="4"/>
        <v>1120</v>
      </c>
      <c r="G49" s="20">
        <f t="shared" si="4"/>
        <v>980</v>
      </c>
      <c r="H49" s="20">
        <f t="shared" si="4"/>
        <v>3970</v>
      </c>
      <c r="I49" s="20">
        <f t="shared" si="4"/>
        <v>3840</v>
      </c>
      <c r="J49" s="20">
        <f t="shared" si="4"/>
        <v>980</v>
      </c>
      <c r="K49" s="20">
        <f t="shared" si="4"/>
        <v>2940</v>
      </c>
      <c r="L49" s="20">
        <f t="shared" si="4"/>
        <v>1680</v>
      </c>
      <c r="M49" s="20">
        <f t="shared" si="4"/>
        <v>2360</v>
      </c>
      <c r="N49" s="20">
        <f t="shared" si="4"/>
        <v>2025</v>
      </c>
      <c r="O49" s="6"/>
      <c r="P49" s="19">
        <f>SUM(P32:P48)</f>
        <v>26890</v>
      </c>
    </row>
    <row r="50" spans="1:17" ht="15.75" thickTop="1" x14ac:dyDescent="0.25"/>
    <row r="52" spans="1:17" ht="15.75" x14ac:dyDescent="0.25">
      <c r="A52" s="1"/>
      <c r="B52" s="1"/>
      <c r="C52" s="1"/>
      <c r="D52" s="1"/>
      <c r="E52" s="1"/>
      <c r="F52" s="2" t="s">
        <v>0</v>
      </c>
      <c r="G52" s="1"/>
      <c r="H52" s="1"/>
      <c r="I52" s="1"/>
      <c r="J52" s="1"/>
      <c r="K52" s="1"/>
      <c r="L52" s="1"/>
      <c r="M52" s="1"/>
      <c r="N52" s="1"/>
      <c r="O52" s="1"/>
    </row>
    <row r="53" spans="1:17" ht="15.75" x14ac:dyDescent="0.25">
      <c r="A53" s="1"/>
      <c r="B53" s="1"/>
      <c r="C53" s="1"/>
      <c r="D53" s="1"/>
      <c r="E53" s="1"/>
      <c r="F53" s="2"/>
      <c r="G53" s="1"/>
      <c r="H53" s="1"/>
      <c r="I53" s="1"/>
      <c r="J53" s="1"/>
      <c r="K53" s="1"/>
      <c r="L53" s="1"/>
      <c r="M53" s="3" t="s">
        <v>1</v>
      </c>
      <c r="N53" s="4">
        <v>3</v>
      </c>
      <c r="O53" s="4"/>
    </row>
    <row r="54" spans="1:1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3" t="s">
        <v>2</v>
      </c>
      <c r="N54" s="4">
        <v>2023</v>
      </c>
      <c r="O54" s="4"/>
    </row>
    <row r="55" spans="1:17" x14ac:dyDescent="0.25">
      <c r="A55" s="5" t="s">
        <v>3</v>
      </c>
      <c r="B55" s="5" t="s">
        <v>4</v>
      </c>
      <c r="C55" s="5" t="s">
        <v>5</v>
      </c>
      <c r="D55" s="5" t="s">
        <v>6</v>
      </c>
      <c r="E55" s="5" t="s">
        <v>7</v>
      </c>
      <c r="F55" s="5" t="s">
        <v>8</v>
      </c>
      <c r="G55" s="5" t="s">
        <v>9</v>
      </c>
      <c r="H55" s="5" t="s">
        <v>10</v>
      </c>
      <c r="I55" s="5" t="s">
        <v>11</v>
      </c>
      <c r="J55" s="5" t="s">
        <v>12</v>
      </c>
      <c r="K55" s="5" t="s">
        <v>13</v>
      </c>
      <c r="L55" s="5" t="s">
        <v>14</v>
      </c>
      <c r="M55" s="5" t="s">
        <v>15</v>
      </c>
      <c r="N55" s="5" t="s">
        <v>16</v>
      </c>
      <c r="O55" s="5" t="s">
        <v>170</v>
      </c>
      <c r="P55" s="17" t="s">
        <v>169</v>
      </c>
      <c r="Q55" s="5" t="s">
        <v>171</v>
      </c>
    </row>
    <row r="56" spans="1:17" x14ac:dyDescent="0.25">
      <c r="A56" s="6">
        <v>1</v>
      </c>
      <c r="B56" s="6" t="s">
        <v>52</v>
      </c>
      <c r="C56" s="6">
        <v>390</v>
      </c>
      <c r="D56" s="95" t="s">
        <v>187</v>
      </c>
      <c r="E56" s="96"/>
      <c r="F56" s="97"/>
      <c r="G56" s="6">
        <v>390</v>
      </c>
      <c r="H56" s="95" t="s">
        <v>187</v>
      </c>
      <c r="I56" s="97"/>
      <c r="J56" s="6">
        <v>390</v>
      </c>
      <c r="K56" s="6"/>
      <c r="L56" s="6"/>
      <c r="M56" s="6"/>
      <c r="N56" s="6"/>
      <c r="O56" s="6"/>
      <c r="P56" s="18">
        <f>SUM(C56:O56)</f>
        <v>1170</v>
      </c>
      <c r="Q56" s="6"/>
    </row>
    <row r="57" spans="1:17" x14ac:dyDescent="0.25">
      <c r="A57" s="6">
        <v>2</v>
      </c>
      <c r="B57" s="6" t="s">
        <v>53</v>
      </c>
      <c r="C57" s="6">
        <v>280</v>
      </c>
      <c r="D57" s="6">
        <v>280</v>
      </c>
      <c r="E57" s="6">
        <v>280</v>
      </c>
      <c r="F57" s="6">
        <v>280</v>
      </c>
      <c r="G57" s="6">
        <v>280</v>
      </c>
      <c r="H57" s="6" t="s">
        <v>187</v>
      </c>
      <c r="I57" s="43">
        <v>280</v>
      </c>
      <c r="J57" s="95" t="s">
        <v>187</v>
      </c>
      <c r="K57" s="96"/>
      <c r="L57" s="97"/>
      <c r="M57" s="6"/>
      <c r="N57" s="6"/>
      <c r="O57" s="6"/>
      <c r="P57" s="18">
        <f t="shared" ref="P57:P74" si="5">SUM(C57:O57)</f>
        <v>1680</v>
      </c>
      <c r="Q57" s="6"/>
    </row>
    <row r="58" spans="1:17" x14ac:dyDescent="0.25">
      <c r="A58" s="6">
        <v>3</v>
      </c>
      <c r="B58" s="6" t="s">
        <v>54</v>
      </c>
      <c r="C58" s="6">
        <v>390</v>
      </c>
      <c r="D58" s="6">
        <v>260</v>
      </c>
      <c r="E58" s="95" t="s">
        <v>187</v>
      </c>
      <c r="F58" s="96"/>
      <c r="G58" s="97"/>
      <c r="H58" s="6">
        <v>520</v>
      </c>
      <c r="I58" s="95" t="s">
        <v>187</v>
      </c>
      <c r="J58" s="97"/>
      <c r="K58" s="6">
        <v>260</v>
      </c>
      <c r="L58" s="31" t="s">
        <v>187</v>
      </c>
      <c r="M58" s="6">
        <v>390</v>
      </c>
      <c r="N58" s="6"/>
      <c r="O58" s="6"/>
      <c r="P58" s="18">
        <f t="shared" si="5"/>
        <v>1820</v>
      </c>
      <c r="Q58" s="6"/>
    </row>
    <row r="59" spans="1:17" x14ac:dyDescent="0.25">
      <c r="A59" s="6">
        <v>5</v>
      </c>
      <c r="B59" s="6" t="s">
        <v>547</v>
      </c>
      <c r="C59" s="95" t="s">
        <v>187</v>
      </c>
      <c r="D59" s="96"/>
      <c r="E59" s="96"/>
      <c r="F59" s="96"/>
      <c r="G59" s="96"/>
      <c r="H59" s="96"/>
      <c r="I59" s="97"/>
      <c r="J59" s="6"/>
      <c r="K59" s="6">
        <v>1560</v>
      </c>
      <c r="L59" s="6"/>
      <c r="M59" s="6"/>
      <c r="N59" s="6"/>
      <c r="O59" s="6"/>
      <c r="P59" s="18">
        <f t="shared" si="5"/>
        <v>1560</v>
      </c>
      <c r="Q59" s="6"/>
    </row>
    <row r="60" spans="1:17" x14ac:dyDescent="0.25">
      <c r="A60" s="6">
        <v>6</v>
      </c>
      <c r="B60" s="6" t="s">
        <v>56</v>
      </c>
      <c r="C60" s="31" t="s">
        <v>187</v>
      </c>
      <c r="D60" s="6">
        <v>1300</v>
      </c>
      <c r="E60" s="95" t="s">
        <v>187</v>
      </c>
      <c r="F60" s="96"/>
      <c r="G60" s="96"/>
      <c r="H60" s="96"/>
      <c r="I60" s="97"/>
      <c r="J60" s="6">
        <v>780</v>
      </c>
      <c r="K60" s="6"/>
      <c r="L60" s="6"/>
      <c r="M60" s="6"/>
      <c r="N60" s="6"/>
      <c r="O60" s="6"/>
      <c r="P60" s="18">
        <f t="shared" si="5"/>
        <v>2080</v>
      </c>
      <c r="Q60" s="6"/>
    </row>
    <row r="61" spans="1:17" x14ac:dyDescent="0.25">
      <c r="A61" s="6">
        <v>7</v>
      </c>
      <c r="B61" s="6" t="s">
        <v>57</v>
      </c>
      <c r="C61" s="6">
        <v>130</v>
      </c>
      <c r="D61" s="6">
        <v>130</v>
      </c>
      <c r="E61" s="6">
        <v>260</v>
      </c>
      <c r="F61" s="6">
        <v>130</v>
      </c>
      <c r="G61" s="6">
        <v>130</v>
      </c>
      <c r="H61" s="31">
        <v>130</v>
      </c>
      <c r="I61" s="6">
        <v>130</v>
      </c>
      <c r="J61" s="6">
        <v>130</v>
      </c>
      <c r="K61" s="6">
        <v>130</v>
      </c>
      <c r="L61" s="6">
        <v>130</v>
      </c>
      <c r="M61" s="6"/>
      <c r="N61" s="6"/>
      <c r="O61" s="6"/>
      <c r="P61" s="18">
        <f t="shared" si="5"/>
        <v>1430</v>
      </c>
      <c r="Q61" s="6"/>
    </row>
    <row r="62" spans="1:17" x14ac:dyDescent="0.25">
      <c r="A62" s="6">
        <v>8</v>
      </c>
      <c r="B62" s="6" t="s">
        <v>58</v>
      </c>
      <c r="C62" s="6">
        <v>280</v>
      </c>
      <c r="D62" s="31" t="s">
        <v>187</v>
      </c>
      <c r="E62" s="6">
        <v>280</v>
      </c>
      <c r="F62" s="6">
        <v>140</v>
      </c>
      <c r="G62" s="6">
        <v>140</v>
      </c>
      <c r="H62" s="31" t="s">
        <v>187</v>
      </c>
      <c r="I62" s="6">
        <v>280</v>
      </c>
      <c r="J62" s="6">
        <v>280</v>
      </c>
      <c r="K62" s="6">
        <v>280</v>
      </c>
      <c r="L62" s="31" t="s">
        <v>187</v>
      </c>
      <c r="M62" s="6">
        <v>140</v>
      </c>
      <c r="N62" s="31" t="s">
        <v>187</v>
      </c>
      <c r="O62" s="6"/>
      <c r="P62" s="18">
        <f t="shared" si="5"/>
        <v>1820</v>
      </c>
      <c r="Q62" s="6"/>
    </row>
    <row r="63" spans="1:17" x14ac:dyDescent="0.25">
      <c r="A63" s="6">
        <v>9</v>
      </c>
      <c r="B63" s="6" t="s">
        <v>59</v>
      </c>
      <c r="C63" s="31" t="s">
        <v>187</v>
      </c>
      <c r="D63" s="6">
        <v>520</v>
      </c>
      <c r="E63" s="95" t="s">
        <v>187</v>
      </c>
      <c r="F63" s="97"/>
      <c r="G63" s="6">
        <v>390</v>
      </c>
      <c r="H63" s="31" t="s">
        <v>187</v>
      </c>
      <c r="I63" s="6">
        <v>260</v>
      </c>
      <c r="J63" s="95" t="s">
        <v>187</v>
      </c>
      <c r="K63" s="97"/>
      <c r="L63" s="6">
        <v>780</v>
      </c>
      <c r="M63" s="45">
        <v>1560</v>
      </c>
      <c r="N63" s="31" t="s">
        <v>187</v>
      </c>
      <c r="O63" s="6"/>
      <c r="P63" s="18">
        <f t="shared" si="5"/>
        <v>3510</v>
      </c>
      <c r="Q63" s="6" t="s">
        <v>573</v>
      </c>
    </row>
    <row r="64" spans="1:17" x14ac:dyDescent="0.25">
      <c r="A64" s="6">
        <v>10</v>
      </c>
      <c r="B64" s="6" t="s">
        <v>60</v>
      </c>
      <c r="C64" s="31" t="s">
        <v>187</v>
      </c>
      <c r="D64" s="6">
        <v>1560</v>
      </c>
      <c r="E64" s="95" t="s">
        <v>187</v>
      </c>
      <c r="F64" s="96"/>
      <c r="G64" s="96"/>
      <c r="H64" s="96"/>
      <c r="I64" s="96"/>
      <c r="J64" s="96"/>
      <c r="K64" s="96"/>
      <c r="L64" s="96"/>
      <c r="M64" s="96"/>
      <c r="N64" s="97"/>
      <c r="O64" s="6"/>
      <c r="P64" s="18">
        <f t="shared" si="5"/>
        <v>1560</v>
      </c>
      <c r="Q64" s="6"/>
    </row>
    <row r="65" spans="1:17" x14ac:dyDescent="0.25">
      <c r="A65" s="6">
        <v>11</v>
      </c>
      <c r="B65" s="6" t="s">
        <v>61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18">
        <f t="shared" si="5"/>
        <v>0</v>
      </c>
      <c r="Q65" s="6"/>
    </row>
    <row r="66" spans="1:17" x14ac:dyDescent="0.25">
      <c r="A66" s="6">
        <v>12</v>
      </c>
      <c r="B66" s="6" t="s">
        <v>62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18">
        <f t="shared" si="5"/>
        <v>0</v>
      </c>
      <c r="Q66" s="6"/>
    </row>
    <row r="67" spans="1:17" x14ac:dyDescent="0.25">
      <c r="A67" s="6">
        <v>13</v>
      </c>
      <c r="B67" s="6" t="s">
        <v>63</v>
      </c>
      <c r="C67" s="31" t="s">
        <v>187</v>
      </c>
      <c r="D67" s="6">
        <v>260</v>
      </c>
      <c r="E67" s="95" t="s">
        <v>187</v>
      </c>
      <c r="F67" s="97"/>
      <c r="G67" s="6">
        <v>260</v>
      </c>
      <c r="H67" s="31" t="s">
        <v>187</v>
      </c>
      <c r="I67" s="6">
        <v>260</v>
      </c>
      <c r="J67" s="31" t="s">
        <v>187</v>
      </c>
      <c r="K67" s="6">
        <v>260</v>
      </c>
      <c r="L67" s="31" t="s">
        <v>187</v>
      </c>
      <c r="M67" s="6">
        <v>260</v>
      </c>
      <c r="N67" s="6"/>
      <c r="O67" s="6"/>
      <c r="P67" s="18">
        <f t="shared" si="5"/>
        <v>1300</v>
      </c>
      <c r="Q67" s="6"/>
    </row>
    <row r="68" spans="1:17" x14ac:dyDescent="0.25">
      <c r="A68" s="6">
        <v>14</v>
      </c>
      <c r="B68" s="6" t="s">
        <v>64</v>
      </c>
      <c r="C68" s="95" t="s">
        <v>187</v>
      </c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7"/>
      <c r="O68" s="6"/>
      <c r="P68" s="18">
        <f t="shared" si="5"/>
        <v>0</v>
      </c>
      <c r="Q68" s="6" t="s">
        <v>243</v>
      </c>
    </row>
    <row r="69" spans="1:17" x14ac:dyDescent="0.25">
      <c r="A69" s="6">
        <v>15</v>
      </c>
      <c r="B69" s="6" t="s">
        <v>65</v>
      </c>
      <c r="C69" s="102" t="s">
        <v>187</v>
      </c>
      <c r="D69" s="104"/>
      <c r="E69" s="104"/>
      <c r="F69" s="104"/>
      <c r="G69" s="24">
        <v>1560</v>
      </c>
      <c r="H69" s="102" t="s">
        <v>187</v>
      </c>
      <c r="I69" s="104"/>
      <c r="J69" s="104"/>
      <c r="K69" s="104"/>
      <c r="L69" s="104"/>
      <c r="M69" s="104"/>
      <c r="N69" s="104"/>
      <c r="O69" s="110"/>
      <c r="P69" s="18">
        <f>SUM(C69:O69)</f>
        <v>1560</v>
      </c>
      <c r="Q69" s="6"/>
    </row>
    <row r="70" spans="1:17" x14ac:dyDescent="0.25">
      <c r="A70" s="6">
        <v>16</v>
      </c>
      <c r="B70" s="6" t="s">
        <v>66</v>
      </c>
      <c r="C70" s="95" t="s">
        <v>187</v>
      </c>
      <c r="D70" s="96"/>
      <c r="E70" s="96"/>
      <c r="F70" s="96"/>
      <c r="G70" s="96"/>
      <c r="H70" s="97"/>
      <c r="I70" s="6">
        <v>840</v>
      </c>
      <c r="J70" s="6"/>
      <c r="K70" s="6"/>
      <c r="L70" s="6"/>
      <c r="M70" s="6"/>
      <c r="N70" s="6"/>
      <c r="O70" s="6"/>
      <c r="P70" s="18">
        <f t="shared" si="5"/>
        <v>840</v>
      </c>
      <c r="Q70" s="6"/>
    </row>
    <row r="71" spans="1:17" x14ac:dyDescent="0.25">
      <c r="A71" s="6">
        <v>17</v>
      </c>
      <c r="B71" s="6" t="s">
        <v>67</v>
      </c>
      <c r="C71" s="95" t="s">
        <v>187</v>
      </c>
      <c r="D71" s="96"/>
      <c r="E71" s="96"/>
      <c r="F71" s="96"/>
      <c r="G71" s="97"/>
      <c r="H71" s="6">
        <v>780</v>
      </c>
      <c r="I71" s="6">
        <v>780</v>
      </c>
      <c r="J71" s="95" t="s">
        <v>187</v>
      </c>
      <c r="K71" s="96"/>
      <c r="L71" s="96"/>
      <c r="M71" s="96"/>
      <c r="N71" s="97"/>
      <c r="O71" s="6"/>
      <c r="P71" s="18">
        <f t="shared" si="5"/>
        <v>1560</v>
      </c>
      <c r="Q71" s="6"/>
    </row>
    <row r="72" spans="1:17" x14ac:dyDescent="0.25">
      <c r="A72" s="6">
        <v>18</v>
      </c>
      <c r="B72" s="6" t="s">
        <v>68</v>
      </c>
      <c r="C72" s="31" t="s">
        <v>187</v>
      </c>
      <c r="D72" s="6">
        <v>390</v>
      </c>
      <c r="E72" s="31" t="s">
        <v>187</v>
      </c>
      <c r="F72" s="31" t="s">
        <v>187</v>
      </c>
      <c r="G72" s="6">
        <v>260</v>
      </c>
      <c r="H72" s="6">
        <v>260</v>
      </c>
      <c r="I72" s="31" t="s">
        <v>187</v>
      </c>
      <c r="J72" s="95" t="s">
        <v>187</v>
      </c>
      <c r="K72" s="97"/>
      <c r="L72" s="6">
        <v>390</v>
      </c>
      <c r="M72" s="6"/>
      <c r="N72" s="6"/>
      <c r="O72" s="6"/>
      <c r="P72" s="18">
        <f t="shared" si="5"/>
        <v>1300</v>
      </c>
      <c r="Q72" s="6"/>
    </row>
    <row r="73" spans="1:17" x14ac:dyDescent="0.25">
      <c r="A73" s="6">
        <v>19</v>
      </c>
      <c r="B73" s="6" t="s">
        <v>69</v>
      </c>
      <c r="C73" s="95" t="s">
        <v>187</v>
      </c>
      <c r="D73" s="96"/>
      <c r="E73" s="96"/>
      <c r="F73" s="96"/>
      <c r="G73" s="96"/>
      <c r="H73" s="97"/>
      <c r="I73" s="6">
        <v>1040</v>
      </c>
      <c r="J73" s="6"/>
      <c r="K73" s="6"/>
      <c r="L73" s="6"/>
      <c r="M73" s="6"/>
      <c r="N73" s="6"/>
      <c r="O73" s="6"/>
      <c r="P73" s="18">
        <f t="shared" si="5"/>
        <v>1040</v>
      </c>
      <c r="Q73" s="6"/>
    </row>
    <row r="74" spans="1:17" x14ac:dyDescent="0.25">
      <c r="A74" s="6">
        <v>20</v>
      </c>
      <c r="B74" s="6" t="s">
        <v>70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18">
        <f t="shared" si="5"/>
        <v>0</v>
      </c>
      <c r="Q74" s="6"/>
    </row>
    <row r="75" spans="1:17" ht="15.75" thickBot="1" x14ac:dyDescent="0.3">
      <c r="A75" s="105" t="s">
        <v>169</v>
      </c>
      <c r="B75" s="106"/>
      <c r="C75" s="20">
        <f>SUM(C55:C74)</f>
        <v>1470</v>
      </c>
      <c r="D75" s="20">
        <f t="shared" ref="D75:N75" si="6">SUM(D55:D74)</f>
        <v>4700</v>
      </c>
      <c r="E75" s="20">
        <f t="shared" si="6"/>
        <v>820</v>
      </c>
      <c r="F75" s="20">
        <f t="shared" si="6"/>
        <v>550</v>
      </c>
      <c r="G75" s="20">
        <f t="shared" si="6"/>
        <v>3410</v>
      </c>
      <c r="H75" s="20">
        <f t="shared" si="6"/>
        <v>1690</v>
      </c>
      <c r="I75" s="20">
        <f t="shared" si="6"/>
        <v>3870</v>
      </c>
      <c r="J75" s="20">
        <f t="shared" si="6"/>
        <v>1580</v>
      </c>
      <c r="K75" s="20">
        <f t="shared" si="6"/>
        <v>2490</v>
      </c>
      <c r="L75" s="20">
        <f t="shared" si="6"/>
        <v>1300</v>
      </c>
      <c r="M75" s="20">
        <f t="shared" si="6"/>
        <v>2350</v>
      </c>
      <c r="N75" s="20">
        <f t="shared" si="6"/>
        <v>0</v>
      </c>
      <c r="O75" s="6"/>
      <c r="P75" s="19">
        <f>SUM(P56:P74)</f>
        <v>24230</v>
      </c>
    </row>
    <row r="76" spans="1:17" ht="15.75" thickTop="1" x14ac:dyDescent="0.25"/>
    <row r="77" spans="1:17" ht="15.75" x14ac:dyDescent="0.25">
      <c r="A77" s="1"/>
      <c r="B77" s="1"/>
      <c r="C77" s="1"/>
      <c r="D77" s="1"/>
      <c r="E77" s="1"/>
      <c r="F77" s="2" t="s">
        <v>0</v>
      </c>
      <c r="G77" s="1"/>
      <c r="H77" s="1"/>
      <c r="I77" s="1"/>
      <c r="J77" s="1"/>
      <c r="K77" s="1"/>
      <c r="L77" s="1"/>
      <c r="M77" s="1"/>
      <c r="N77" s="1"/>
      <c r="O77" s="1"/>
    </row>
    <row r="78" spans="1:17" ht="15.75" x14ac:dyDescent="0.25">
      <c r="A78" s="1"/>
      <c r="B78" s="1"/>
      <c r="C78" s="1"/>
      <c r="D78" s="1"/>
      <c r="E78" s="1"/>
      <c r="F78" s="2"/>
      <c r="G78" s="1"/>
      <c r="H78" s="1"/>
      <c r="I78" s="1"/>
      <c r="J78" s="1"/>
      <c r="K78" s="1" t="s">
        <v>392</v>
      </c>
      <c r="L78" s="1"/>
      <c r="M78" s="3" t="s">
        <v>1</v>
      </c>
      <c r="N78" s="4">
        <v>4</v>
      </c>
      <c r="O78" s="4"/>
    </row>
    <row r="79" spans="1:1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3" t="s">
        <v>2</v>
      </c>
      <c r="N79" s="4">
        <v>2023</v>
      </c>
      <c r="O79" s="4"/>
    </row>
    <row r="80" spans="1:17" x14ac:dyDescent="0.25">
      <c r="A80" s="5" t="s">
        <v>3</v>
      </c>
      <c r="B80" s="5" t="s">
        <v>4</v>
      </c>
      <c r="C80" s="5" t="s">
        <v>5</v>
      </c>
      <c r="D80" s="5" t="s">
        <v>6</v>
      </c>
      <c r="E80" s="5" t="s">
        <v>7</v>
      </c>
      <c r="F80" s="5" t="s">
        <v>8</v>
      </c>
      <c r="G80" s="5" t="s">
        <v>9</v>
      </c>
      <c r="H80" s="5" t="s">
        <v>10</v>
      </c>
      <c r="I80" s="5" t="s">
        <v>11</v>
      </c>
      <c r="J80" s="5" t="s">
        <v>12</v>
      </c>
      <c r="K80" s="5" t="s">
        <v>13</v>
      </c>
      <c r="L80" s="5" t="s">
        <v>14</v>
      </c>
      <c r="M80" s="5" t="s">
        <v>15</v>
      </c>
      <c r="N80" s="5" t="s">
        <v>16</v>
      </c>
      <c r="O80" s="5" t="s">
        <v>170</v>
      </c>
      <c r="P80" s="17" t="s">
        <v>169</v>
      </c>
      <c r="Q80" s="5" t="s">
        <v>171</v>
      </c>
    </row>
    <row r="81" spans="1:17" x14ac:dyDescent="0.25">
      <c r="A81" s="6">
        <v>1</v>
      </c>
      <c r="B81" s="6" t="s">
        <v>71</v>
      </c>
      <c r="C81" s="31" t="s">
        <v>187</v>
      </c>
      <c r="D81" s="6">
        <v>200</v>
      </c>
      <c r="E81" s="6">
        <v>300</v>
      </c>
      <c r="F81" s="31" t="s">
        <v>187</v>
      </c>
      <c r="G81" s="6">
        <v>280</v>
      </c>
      <c r="H81" s="6"/>
      <c r="I81" s="6"/>
      <c r="J81" s="6"/>
      <c r="K81" s="6"/>
      <c r="L81" s="6"/>
      <c r="M81" s="6"/>
      <c r="N81" s="6"/>
      <c r="O81" s="6"/>
      <c r="P81" s="18">
        <f>SUM(C81:O81)</f>
        <v>780</v>
      </c>
      <c r="Q81" s="6"/>
    </row>
    <row r="82" spans="1:17" x14ac:dyDescent="0.25">
      <c r="A82" s="6">
        <v>2</v>
      </c>
      <c r="B82" s="6" t="s">
        <v>72</v>
      </c>
      <c r="C82" s="95" t="s">
        <v>187</v>
      </c>
      <c r="D82" s="96"/>
      <c r="E82" s="96"/>
      <c r="F82" s="97"/>
      <c r="G82" s="6">
        <v>1680</v>
      </c>
      <c r="H82" s="95" t="s">
        <v>187</v>
      </c>
      <c r="I82" s="96"/>
      <c r="J82" s="96"/>
      <c r="K82" s="96"/>
      <c r="L82" s="96"/>
      <c r="M82" s="96"/>
      <c r="N82" s="97"/>
      <c r="O82" s="6"/>
      <c r="P82" s="18">
        <f t="shared" ref="P82:P101" si="7">SUM(C82:O82)</f>
        <v>1680</v>
      </c>
      <c r="Q82" s="6"/>
    </row>
    <row r="83" spans="1:17" x14ac:dyDescent="0.25">
      <c r="A83" s="6">
        <v>3</v>
      </c>
      <c r="B83" s="6" t="s">
        <v>475</v>
      </c>
      <c r="C83" s="95" t="s">
        <v>187</v>
      </c>
      <c r="D83" s="97"/>
      <c r="E83" s="6">
        <v>700</v>
      </c>
      <c r="F83" s="6">
        <v>140</v>
      </c>
      <c r="G83" s="6">
        <v>280</v>
      </c>
      <c r="H83" s="6">
        <v>140</v>
      </c>
      <c r="I83" s="6">
        <v>140</v>
      </c>
      <c r="J83" s="6">
        <v>140</v>
      </c>
      <c r="K83" s="6">
        <v>140</v>
      </c>
      <c r="L83" s="6">
        <v>140</v>
      </c>
      <c r="M83" s="6">
        <v>140</v>
      </c>
      <c r="N83" s="6"/>
      <c r="O83" s="6"/>
      <c r="P83" s="18">
        <f t="shared" si="7"/>
        <v>1960</v>
      </c>
      <c r="Q83" s="6"/>
    </row>
    <row r="84" spans="1:17" x14ac:dyDescent="0.25">
      <c r="A84" s="6">
        <v>4</v>
      </c>
      <c r="B84" s="6" t="s">
        <v>74</v>
      </c>
      <c r="C84" s="6">
        <v>420</v>
      </c>
      <c r="D84" s="95" t="s">
        <v>187</v>
      </c>
      <c r="E84" s="96"/>
      <c r="F84" s="97"/>
      <c r="G84" s="6">
        <v>560</v>
      </c>
      <c r="H84" s="31" t="s">
        <v>187</v>
      </c>
      <c r="I84" s="6">
        <v>280</v>
      </c>
      <c r="J84" s="95" t="s">
        <v>187</v>
      </c>
      <c r="K84" s="96"/>
      <c r="L84" s="97"/>
      <c r="M84" s="6">
        <v>700</v>
      </c>
      <c r="N84" s="6"/>
      <c r="O84" s="6">
        <v>250</v>
      </c>
      <c r="P84" s="18">
        <f t="shared" si="7"/>
        <v>2210</v>
      </c>
      <c r="Q84" s="6"/>
    </row>
    <row r="85" spans="1:17" x14ac:dyDescent="0.25">
      <c r="A85" s="6">
        <v>5</v>
      </c>
      <c r="B85" s="6" t="s">
        <v>75</v>
      </c>
      <c r="C85" s="102" t="s">
        <v>187</v>
      </c>
      <c r="D85" s="103"/>
      <c r="E85" s="24">
        <v>1680</v>
      </c>
      <c r="F85" s="102" t="s">
        <v>187</v>
      </c>
      <c r="G85" s="104"/>
      <c r="H85" s="104"/>
      <c r="I85" s="104"/>
      <c r="J85" s="104"/>
      <c r="K85" s="104"/>
      <c r="L85" s="104"/>
      <c r="M85" s="104"/>
      <c r="N85" s="103"/>
      <c r="O85" s="6"/>
      <c r="P85" s="18">
        <f t="shared" si="7"/>
        <v>1680</v>
      </c>
      <c r="Q85" s="6"/>
    </row>
    <row r="86" spans="1:17" x14ac:dyDescent="0.25">
      <c r="A86" s="6">
        <v>6</v>
      </c>
      <c r="B86" s="6" t="s">
        <v>76</v>
      </c>
      <c r="C86" s="24" t="s">
        <v>392</v>
      </c>
      <c r="D86" s="102" t="s">
        <v>187</v>
      </c>
      <c r="E86" s="103"/>
      <c r="F86" s="24">
        <v>420</v>
      </c>
      <c r="G86" s="102" t="s">
        <v>187</v>
      </c>
      <c r="H86" s="103"/>
      <c r="I86" s="24">
        <v>420</v>
      </c>
      <c r="J86" s="102" t="s">
        <v>187</v>
      </c>
      <c r="K86" s="103"/>
      <c r="L86" s="24">
        <v>420</v>
      </c>
      <c r="M86" s="102" t="s">
        <v>187</v>
      </c>
      <c r="N86" s="103"/>
      <c r="O86" s="6"/>
      <c r="P86" s="18">
        <f t="shared" si="7"/>
        <v>1260</v>
      </c>
      <c r="Q86" s="6" t="s">
        <v>517</v>
      </c>
    </row>
    <row r="87" spans="1:17" x14ac:dyDescent="0.25">
      <c r="A87" s="6">
        <v>7</v>
      </c>
      <c r="B87" s="6" t="s">
        <v>77</v>
      </c>
      <c r="C87" s="95" t="s">
        <v>187</v>
      </c>
      <c r="D87" s="97"/>
      <c r="E87" s="95" t="s">
        <v>187</v>
      </c>
      <c r="F87" s="96"/>
      <c r="G87" s="97"/>
      <c r="H87" s="6">
        <v>640</v>
      </c>
      <c r="I87" s="6">
        <v>370</v>
      </c>
      <c r="J87" s="6">
        <v>160</v>
      </c>
      <c r="K87" s="6"/>
      <c r="L87" s="6"/>
      <c r="M87" s="6"/>
      <c r="N87" s="6"/>
      <c r="O87" s="6"/>
      <c r="P87" s="18"/>
      <c r="Q87" s="6"/>
    </row>
    <row r="88" spans="1:17" x14ac:dyDescent="0.25">
      <c r="A88" s="6"/>
      <c r="B88" s="6" t="s">
        <v>185</v>
      </c>
      <c r="C88" s="95" t="s">
        <v>187</v>
      </c>
      <c r="D88" s="96"/>
      <c r="E88" s="96"/>
      <c r="F88" s="96"/>
      <c r="G88" s="97"/>
      <c r="H88" s="6">
        <v>1260</v>
      </c>
      <c r="I88" s="6">
        <v>630</v>
      </c>
      <c r="J88" s="6">
        <v>340</v>
      </c>
      <c r="K88" s="6"/>
      <c r="L88" s="6"/>
      <c r="M88" s="6"/>
      <c r="N88" s="6"/>
      <c r="O88" s="6"/>
      <c r="P88" s="18">
        <f t="shared" si="7"/>
        <v>2230</v>
      </c>
      <c r="Q88" s="6"/>
    </row>
    <row r="89" spans="1:17" x14ac:dyDescent="0.25">
      <c r="A89" s="6">
        <v>8</v>
      </c>
      <c r="B89" s="6" t="s">
        <v>78</v>
      </c>
      <c r="C89" s="6">
        <v>140</v>
      </c>
      <c r="D89" s="6">
        <v>140</v>
      </c>
      <c r="E89" s="31" t="s">
        <v>187</v>
      </c>
      <c r="F89" s="6">
        <v>280</v>
      </c>
      <c r="G89" s="31" t="s">
        <v>187</v>
      </c>
      <c r="H89" s="6">
        <v>140</v>
      </c>
      <c r="I89" s="6">
        <v>140</v>
      </c>
      <c r="J89" s="6">
        <v>140</v>
      </c>
      <c r="K89" s="6">
        <v>140</v>
      </c>
      <c r="L89" s="31" t="s">
        <v>187</v>
      </c>
      <c r="M89" s="6">
        <v>560</v>
      </c>
      <c r="N89" s="31" t="s">
        <v>187</v>
      </c>
      <c r="O89" s="6"/>
      <c r="P89" s="18">
        <f t="shared" si="7"/>
        <v>1680</v>
      </c>
      <c r="Q89" s="6"/>
    </row>
    <row r="90" spans="1:17" x14ac:dyDescent="0.25">
      <c r="A90" s="6">
        <v>9</v>
      </c>
      <c r="B90" s="6" t="s">
        <v>79</v>
      </c>
      <c r="C90" s="6">
        <v>140</v>
      </c>
      <c r="D90" s="6">
        <v>140</v>
      </c>
      <c r="E90" s="6">
        <v>140</v>
      </c>
      <c r="F90" s="6">
        <v>140</v>
      </c>
      <c r="G90" s="6">
        <v>280</v>
      </c>
      <c r="H90" s="31" t="s">
        <v>187</v>
      </c>
      <c r="I90" s="6">
        <v>140</v>
      </c>
      <c r="J90" s="6">
        <v>140</v>
      </c>
      <c r="K90" s="6">
        <v>140</v>
      </c>
      <c r="L90" s="6">
        <v>140</v>
      </c>
      <c r="M90" s="6">
        <v>280</v>
      </c>
      <c r="N90" s="6"/>
      <c r="O90" s="6"/>
      <c r="P90" s="18">
        <f t="shared" si="7"/>
        <v>1680</v>
      </c>
      <c r="Q90" s="6"/>
    </row>
    <row r="91" spans="1:17" x14ac:dyDescent="0.25">
      <c r="A91" s="6">
        <v>10</v>
      </c>
      <c r="B91" s="6" t="s">
        <v>80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18">
        <f t="shared" si="7"/>
        <v>0</v>
      </c>
      <c r="Q91" s="6"/>
    </row>
    <row r="92" spans="1:17" x14ac:dyDescent="0.25">
      <c r="A92" s="6">
        <v>11</v>
      </c>
      <c r="B92" s="6" t="s">
        <v>81</v>
      </c>
      <c r="C92" s="6">
        <v>130</v>
      </c>
      <c r="D92" s="31" t="s">
        <v>187</v>
      </c>
      <c r="E92" s="6">
        <v>260</v>
      </c>
      <c r="F92" s="6">
        <v>130</v>
      </c>
      <c r="G92" s="6">
        <v>130</v>
      </c>
      <c r="H92" s="6">
        <v>130</v>
      </c>
      <c r="I92" s="6">
        <v>130</v>
      </c>
      <c r="J92" s="6">
        <v>130</v>
      </c>
      <c r="K92" s="6">
        <v>130</v>
      </c>
      <c r="L92" s="6">
        <v>130</v>
      </c>
      <c r="M92" s="6">
        <v>130</v>
      </c>
      <c r="N92" s="6"/>
      <c r="O92" s="6"/>
      <c r="P92" s="18">
        <f t="shared" si="7"/>
        <v>1430</v>
      </c>
      <c r="Q92" s="6"/>
    </row>
    <row r="93" spans="1:17" x14ac:dyDescent="0.25">
      <c r="A93" s="6">
        <v>12</v>
      </c>
      <c r="B93" s="6" t="s">
        <v>82</v>
      </c>
      <c r="C93" s="6">
        <v>420</v>
      </c>
      <c r="D93" s="31" t="s">
        <v>187</v>
      </c>
      <c r="E93" s="6">
        <v>420</v>
      </c>
      <c r="F93" s="95" t="s">
        <v>187</v>
      </c>
      <c r="G93" s="97"/>
      <c r="H93" s="31" t="s">
        <v>187</v>
      </c>
      <c r="I93" s="6">
        <v>420</v>
      </c>
      <c r="J93" s="31" t="s">
        <v>187</v>
      </c>
      <c r="K93" s="6">
        <v>420</v>
      </c>
      <c r="L93" s="95" t="s">
        <v>187</v>
      </c>
      <c r="M93" s="97"/>
      <c r="N93" s="6"/>
      <c r="O93" s="6"/>
      <c r="P93" s="18">
        <f t="shared" si="7"/>
        <v>1680</v>
      </c>
      <c r="Q93" s="6"/>
    </row>
    <row r="94" spans="1:17" x14ac:dyDescent="0.25">
      <c r="A94" s="6">
        <v>13</v>
      </c>
      <c r="B94" s="6" t="s">
        <v>83</v>
      </c>
      <c r="C94" s="6">
        <v>1680</v>
      </c>
      <c r="D94" s="95" t="s">
        <v>187</v>
      </c>
      <c r="E94" s="96"/>
      <c r="F94" s="96"/>
      <c r="G94" s="96"/>
      <c r="H94" s="96"/>
      <c r="I94" s="96"/>
      <c r="J94" s="96"/>
      <c r="K94" s="96"/>
      <c r="L94" s="96"/>
      <c r="M94" s="96"/>
      <c r="N94" s="97"/>
      <c r="O94" s="6"/>
      <c r="P94" s="18">
        <f t="shared" si="7"/>
        <v>1680</v>
      </c>
      <c r="Q94" s="6"/>
    </row>
    <row r="95" spans="1:17" x14ac:dyDescent="0.25">
      <c r="A95" s="6">
        <v>14</v>
      </c>
      <c r="B95" s="6" t="s">
        <v>476</v>
      </c>
      <c r="C95" s="6">
        <v>140</v>
      </c>
      <c r="D95" s="31" t="s">
        <v>187</v>
      </c>
      <c r="E95" s="6">
        <v>280</v>
      </c>
      <c r="F95" s="31" t="s">
        <v>187</v>
      </c>
      <c r="G95" s="6">
        <v>280</v>
      </c>
      <c r="H95" s="31" t="s">
        <v>187</v>
      </c>
      <c r="I95" s="6">
        <v>280</v>
      </c>
      <c r="J95" s="31" t="s">
        <v>187</v>
      </c>
      <c r="K95" s="6">
        <v>280</v>
      </c>
      <c r="L95" s="6">
        <v>140</v>
      </c>
      <c r="M95" s="6"/>
      <c r="N95" s="6"/>
      <c r="O95" s="6"/>
      <c r="P95" s="18">
        <f t="shared" si="7"/>
        <v>1400</v>
      </c>
      <c r="Q95" s="6"/>
    </row>
    <row r="96" spans="1:17" x14ac:dyDescent="0.25">
      <c r="A96" s="6">
        <v>15</v>
      </c>
      <c r="B96" s="6" t="s">
        <v>85</v>
      </c>
      <c r="C96" s="31" t="s">
        <v>187</v>
      </c>
      <c r="D96" s="6">
        <v>260</v>
      </c>
      <c r="E96" s="31" t="s">
        <v>187</v>
      </c>
      <c r="F96" s="6">
        <v>260</v>
      </c>
      <c r="G96" s="6"/>
      <c r="H96" s="6"/>
      <c r="I96" s="6"/>
      <c r="J96" s="6"/>
      <c r="K96" s="6"/>
      <c r="L96" s="6"/>
      <c r="M96" s="6"/>
      <c r="N96" s="6"/>
      <c r="O96" s="6"/>
      <c r="P96" s="18">
        <f t="shared" si="7"/>
        <v>520</v>
      </c>
      <c r="Q96" s="6"/>
    </row>
    <row r="97" spans="1:17" x14ac:dyDescent="0.25">
      <c r="A97" s="6">
        <v>16</v>
      </c>
      <c r="B97" s="6" t="s">
        <v>86</v>
      </c>
      <c r="C97" s="6">
        <v>140</v>
      </c>
      <c r="D97" s="31" t="s">
        <v>187</v>
      </c>
      <c r="E97" s="6">
        <v>280</v>
      </c>
      <c r="F97" s="31" t="s">
        <v>187</v>
      </c>
      <c r="G97" s="6">
        <v>140</v>
      </c>
      <c r="H97" s="6">
        <v>280</v>
      </c>
      <c r="I97" s="31" t="s">
        <v>187</v>
      </c>
      <c r="J97" s="6">
        <v>140</v>
      </c>
      <c r="K97" s="6">
        <v>140</v>
      </c>
      <c r="L97" s="6">
        <v>140</v>
      </c>
      <c r="M97" s="6">
        <v>140</v>
      </c>
      <c r="N97" s="6"/>
      <c r="O97" s="6"/>
      <c r="P97" s="18">
        <f t="shared" si="7"/>
        <v>1400</v>
      </c>
      <c r="Q97" s="6"/>
    </row>
    <row r="98" spans="1:17" x14ac:dyDescent="0.25">
      <c r="A98" s="6">
        <v>17</v>
      </c>
      <c r="B98" s="6" t="s">
        <v>87</v>
      </c>
      <c r="C98" s="24">
        <v>420</v>
      </c>
      <c r="D98" s="102" t="s">
        <v>187</v>
      </c>
      <c r="E98" s="103"/>
      <c r="F98" s="24"/>
      <c r="G98" s="24">
        <v>840</v>
      </c>
      <c r="H98" s="24"/>
      <c r="I98" s="6"/>
      <c r="J98" s="6"/>
      <c r="K98" s="6">
        <v>420</v>
      </c>
      <c r="L98" s="6"/>
      <c r="M98" s="6"/>
      <c r="N98" s="6"/>
      <c r="O98" s="6"/>
      <c r="P98" s="18">
        <f t="shared" si="7"/>
        <v>1680</v>
      </c>
      <c r="Q98" s="6" t="s">
        <v>548</v>
      </c>
    </row>
    <row r="99" spans="1:17" x14ac:dyDescent="0.25">
      <c r="A99" s="6">
        <v>18</v>
      </c>
      <c r="B99" s="6" t="s">
        <v>88</v>
      </c>
      <c r="C99" s="31" t="s">
        <v>187</v>
      </c>
      <c r="D99" s="6">
        <v>420</v>
      </c>
      <c r="E99" s="29" t="s">
        <v>187</v>
      </c>
      <c r="F99" s="6">
        <v>420</v>
      </c>
      <c r="G99" s="95" t="s">
        <v>187</v>
      </c>
      <c r="H99" s="97"/>
      <c r="I99" s="6">
        <v>420</v>
      </c>
      <c r="J99" s="95" t="s">
        <v>187</v>
      </c>
      <c r="K99" s="97"/>
      <c r="L99" s="6">
        <v>420</v>
      </c>
      <c r="M99" s="95" t="s">
        <v>187</v>
      </c>
      <c r="N99" s="97"/>
      <c r="O99" s="6"/>
      <c r="P99" s="18">
        <f t="shared" si="7"/>
        <v>1680</v>
      </c>
      <c r="Q99" s="6"/>
    </row>
    <row r="100" spans="1:17" x14ac:dyDescent="0.25">
      <c r="A100" s="6">
        <v>19</v>
      </c>
      <c r="B100" s="6" t="s">
        <v>89</v>
      </c>
      <c r="C100" s="31" t="s">
        <v>187</v>
      </c>
      <c r="D100" s="6">
        <v>130</v>
      </c>
      <c r="E100" s="6">
        <v>260</v>
      </c>
      <c r="F100" s="31" t="s">
        <v>187</v>
      </c>
      <c r="G100" s="6">
        <v>260</v>
      </c>
      <c r="H100" s="6">
        <v>130</v>
      </c>
      <c r="I100" s="6">
        <v>130</v>
      </c>
      <c r="J100" s="6">
        <v>130</v>
      </c>
      <c r="K100" s="6">
        <v>130</v>
      </c>
      <c r="L100" s="6">
        <v>130</v>
      </c>
      <c r="M100" s="6">
        <v>130</v>
      </c>
      <c r="N100" s="6"/>
      <c r="O100" s="6"/>
      <c r="P100" s="18">
        <f t="shared" si="7"/>
        <v>1430</v>
      </c>
      <c r="Q100" s="6"/>
    </row>
    <row r="101" spans="1:17" x14ac:dyDescent="0.25">
      <c r="A101" s="6">
        <v>20</v>
      </c>
      <c r="B101" s="6" t="s">
        <v>90</v>
      </c>
      <c r="C101" s="24">
        <v>840</v>
      </c>
      <c r="D101" s="32" t="s">
        <v>187</v>
      </c>
      <c r="E101" s="24">
        <v>840</v>
      </c>
      <c r="F101" s="102" t="s">
        <v>187</v>
      </c>
      <c r="G101" s="104"/>
      <c r="H101" s="103"/>
      <c r="I101" s="6"/>
      <c r="J101" s="6"/>
      <c r="K101" s="6"/>
      <c r="L101" s="6"/>
      <c r="M101" s="6"/>
      <c r="N101" s="6"/>
      <c r="O101" s="6"/>
      <c r="P101" s="18">
        <f t="shared" si="7"/>
        <v>1680</v>
      </c>
      <c r="Q101" s="6"/>
    </row>
    <row r="102" spans="1:17" ht="15.75" thickBot="1" x14ac:dyDescent="0.3">
      <c r="A102" s="105" t="s">
        <v>169</v>
      </c>
      <c r="B102" s="106"/>
      <c r="C102" s="20">
        <f>SUM(C82:C101)</f>
        <v>4470</v>
      </c>
      <c r="D102" s="20">
        <f t="shared" ref="D102:N102" si="8">SUM(D82:D101)</f>
        <v>1090</v>
      </c>
      <c r="E102" s="20">
        <f t="shared" si="8"/>
        <v>4860</v>
      </c>
      <c r="F102" s="20">
        <f>SUM(F82:F101)</f>
        <v>1790</v>
      </c>
      <c r="G102" s="20">
        <f t="shared" si="8"/>
        <v>4450</v>
      </c>
      <c r="H102" s="20">
        <f t="shared" si="8"/>
        <v>2720</v>
      </c>
      <c r="I102" s="20">
        <f t="shared" si="8"/>
        <v>3500</v>
      </c>
      <c r="J102" s="20">
        <f t="shared" si="8"/>
        <v>1320</v>
      </c>
      <c r="K102" s="20">
        <f t="shared" si="8"/>
        <v>1940</v>
      </c>
      <c r="L102" s="20">
        <f t="shared" si="8"/>
        <v>1660</v>
      </c>
      <c r="M102" s="20">
        <f t="shared" si="8"/>
        <v>2080</v>
      </c>
      <c r="N102" s="20">
        <f t="shared" si="8"/>
        <v>0</v>
      </c>
      <c r="O102" s="6"/>
      <c r="P102" s="19">
        <f>SUM(P83:P101)</f>
        <v>27280</v>
      </c>
    </row>
    <row r="103" spans="1:17" ht="15.75" thickTop="1" x14ac:dyDescent="0.25"/>
    <row r="104" spans="1:17" ht="15.75" x14ac:dyDescent="0.25">
      <c r="A104" s="1"/>
      <c r="B104" s="1"/>
      <c r="C104" s="1"/>
      <c r="D104" s="1"/>
      <c r="E104" s="1"/>
      <c r="F104" s="2" t="s">
        <v>0</v>
      </c>
      <c r="G104" s="1"/>
      <c r="H104" s="1"/>
      <c r="I104" s="1"/>
      <c r="J104" s="1"/>
      <c r="K104" s="1"/>
      <c r="L104" s="1"/>
      <c r="M104" s="1"/>
      <c r="N104" s="1"/>
      <c r="O104" s="1"/>
    </row>
    <row r="105" spans="1:17" ht="15.75" x14ac:dyDescent="0.25">
      <c r="A105" s="1"/>
      <c r="B105" s="1"/>
      <c r="C105" s="1"/>
      <c r="D105" s="1"/>
      <c r="E105" s="1"/>
      <c r="F105" s="2"/>
      <c r="G105" s="1"/>
      <c r="H105" s="1"/>
      <c r="I105" s="1"/>
      <c r="J105" s="1"/>
      <c r="K105" s="1"/>
      <c r="L105" s="1"/>
      <c r="M105" s="3" t="s">
        <v>1</v>
      </c>
      <c r="N105" s="4">
        <v>5</v>
      </c>
      <c r="O105" s="4"/>
    </row>
    <row r="106" spans="1:1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3" t="s">
        <v>2</v>
      </c>
      <c r="N106" s="4">
        <v>2023</v>
      </c>
      <c r="O106" s="4"/>
    </row>
    <row r="107" spans="1:17" x14ac:dyDescent="0.25">
      <c r="A107" s="5" t="s">
        <v>3</v>
      </c>
      <c r="B107" s="5" t="s">
        <v>4</v>
      </c>
      <c r="C107" s="5" t="s">
        <v>5</v>
      </c>
      <c r="D107" s="5" t="s">
        <v>6</v>
      </c>
      <c r="E107" s="5" t="s">
        <v>7</v>
      </c>
      <c r="F107" s="5" t="s">
        <v>8</v>
      </c>
      <c r="G107" s="5" t="s">
        <v>9</v>
      </c>
      <c r="H107" s="5" t="s">
        <v>10</v>
      </c>
      <c r="I107" s="5" t="s">
        <v>11</v>
      </c>
      <c r="J107" s="5" t="s">
        <v>12</v>
      </c>
      <c r="K107" s="5" t="s">
        <v>13</v>
      </c>
      <c r="L107" s="5" t="s">
        <v>14</v>
      </c>
      <c r="M107" s="5" t="s">
        <v>15</v>
      </c>
      <c r="N107" s="5" t="s">
        <v>16</v>
      </c>
      <c r="O107" s="5" t="s">
        <v>170</v>
      </c>
      <c r="P107" s="17" t="s">
        <v>169</v>
      </c>
      <c r="Q107" s="5" t="s">
        <v>171</v>
      </c>
    </row>
    <row r="108" spans="1:17" x14ac:dyDescent="0.25">
      <c r="A108" s="6">
        <v>1</v>
      </c>
      <c r="B108" s="6" t="s">
        <v>91</v>
      </c>
      <c r="C108" s="95" t="s">
        <v>187</v>
      </c>
      <c r="D108" s="97"/>
      <c r="E108" s="6">
        <v>1120</v>
      </c>
      <c r="F108" s="6">
        <v>140</v>
      </c>
      <c r="G108" s="31" t="s">
        <v>187</v>
      </c>
      <c r="H108" s="6">
        <v>280</v>
      </c>
      <c r="I108" s="6"/>
      <c r="J108" s="6"/>
      <c r="K108" s="6"/>
      <c r="L108" s="6"/>
      <c r="M108" s="6"/>
      <c r="N108" s="6"/>
      <c r="O108" s="6"/>
      <c r="P108" s="18">
        <f>SUM(C108:O108)</f>
        <v>1540</v>
      </c>
      <c r="Q108" s="6"/>
    </row>
    <row r="109" spans="1:17" x14ac:dyDescent="0.25">
      <c r="A109" s="6">
        <v>2</v>
      </c>
      <c r="B109" s="6" t="s">
        <v>92</v>
      </c>
      <c r="C109" s="24">
        <v>280</v>
      </c>
      <c r="D109" s="102" t="s">
        <v>187</v>
      </c>
      <c r="E109" s="103"/>
      <c r="F109" s="24">
        <v>700</v>
      </c>
      <c r="G109" s="32" t="s">
        <v>187</v>
      </c>
      <c r="H109" s="6"/>
      <c r="I109" s="6"/>
      <c r="J109" s="6"/>
      <c r="K109" s="6"/>
      <c r="L109" s="6"/>
      <c r="M109" s="6"/>
      <c r="N109" s="6"/>
      <c r="O109" s="24">
        <v>50</v>
      </c>
      <c r="P109" s="18">
        <f t="shared" ref="P109:P124" si="9">SUM(C109:O109)</f>
        <v>1030</v>
      </c>
      <c r="Q109" s="6"/>
    </row>
    <row r="110" spans="1:17" x14ac:dyDescent="0.25">
      <c r="A110" s="6">
        <v>3</v>
      </c>
      <c r="B110" s="6" t="s">
        <v>93</v>
      </c>
      <c r="C110" s="25">
        <v>420</v>
      </c>
      <c r="D110" s="99" t="s">
        <v>187</v>
      </c>
      <c r="E110" s="101"/>
      <c r="F110" s="25">
        <v>420</v>
      </c>
      <c r="G110" s="99" t="s">
        <v>187</v>
      </c>
      <c r="H110" s="101"/>
      <c r="I110" s="99" t="s">
        <v>187</v>
      </c>
      <c r="J110" s="101"/>
      <c r="K110" s="25">
        <v>420</v>
      </c>
      <c r="L110" s="25">
        <v>420</v>
      </c>
      <c r="M110" s="99" t="s">
        <v>187</v>
      </c>
      <c r="N110" s="101"/>
      <c r="O110" s="25">
        <v>100</v>
      </c>
      <c r="P110" s="18">
        <f>SUM(C110:O110)</f>
        <v>1780</v>
      </c>
      <c r="Q110" s="6"/>
    </row>
    <row r="111" spans="1:17" x14ac:dyDescent="0.25">
      <c r="A111" s="6">
        <v>4</v>
      </c>
      <c r="B111" s="6" t="s">
        <v>94</v>
      </c>
      <c r="C111" s="16">
        <v>280</v>
      </c>
      <c r="D111" s="6">
        <v>280</v>
      </c>
      <c r="E111" s="6">
        <v>280</v>
      </c>
      <c r="F111" s="31" t="s">
        <v>187</v>
      </c>
      <c r="G111" s="31" t="s">
        <v>187</v>
      </c>
      <c r="H111" s="6">
        <v>280</v>
      </c>
      <c r="I111" s="31" t="s">
        <v>187</v>
      </c>
      <c r="J111" s="6">
        <v>280</v>
      </c>
      <c r="K111" s="6"/>
      <c r="L111" s="6">
        <v>280</v>
      </c>
      <c r="M111" s="6"/>
      <c r="N111" s="6"/>
      <c r="O111" s="6"/>
      <c r="P111" s="18">
        <f t="shared" si="9"/>
        <v>1680</v>
      </c>
      <c r="Q111" s="6"/>
    </row>
    <row r="112" spans="1:17" x14ac:dyDescent="0.25">
      <c r="A112" s="6">
        <v>5</v>
      </c>
      <c r="B112" s="6" t="s">
        <v>518</v>
      </c>
      <c r="C112" s="31" t="s">
        <v>187</v>
      </c>
      <c r="D112" s="6">
        <v>280</v>
      </c>
      <c r="E112" s="95" t="s">
        <v>187</v>
      </c>
      <c r="F112" s="96"/>
      <c r="G112" s="96"/>
      <c r="H112" s="97"/>
      <c r="I112" s="6">
        <v>840</v>
      </c>
      <c r="J112" s="6"/>
      <c r="K112" s="6"/>
      <c r="L112" s="6"/>
      <c r="M112" s="6"/>
      <c r="N112" s="6"/>
      <c r="O112" s="6">
        <v>350</v>
      </c>
      <c r="P112" s="18">
        <f t="shared" si="9"/>
        <v>1470</v>
      </c>
      <c r="Q112" s="6"/>
    </row>
    <row r="113" spans="1:17" x14ac:dyDescent="0.25">
      <c r="A113" s="6">
        <v>6</v>
      </c>
      <c r="B113" s="6" t="s">
        <v>96</v>
      </c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18">
        <f t="shared" si="9"/>
        <v>0</v>
      </c>
      <c r="Q113" s="6"/>
    </row>
    <row r="114" spans="1:17" x14ac:dyDescent="0.25">
      <c r="A114" s="6">
        <v>7</v>
      </c>
      <c r="B114" s="6" t="s">
        <v>97</v>
      </c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18">
        <f t="shared" si="9"/>
        <v>0</v>
      </c>
      <c r="Q114" s="6"/>
    </row>
    <row r="115" spans="1:17" x14ac:dyDescent="0.25">
      <c r="A115" s="6">
        <v>8</v>
      </c>
      <c r="B115" s="6" t="s">
        <v>266</v>
      </c>
      <c r="C115" s="95" t="s">
        <v>187</v>
      </c>
      <c r="D115" s="96"/>
      <c r="E115" s="97"/>
      <c r="F115" s="6">
        <v>1260</v>
      </c>
      <c r="G115" s="6"/>
      <c r="H115" s="6"/>
      <c r="I115" s="6"/>
      <c r="J115" s="6"/>
      <c r="K115" s="6"/>
      <c r="L115" s="6"/>
      <c r="M115" s="6"/>
      <c r="N115" s="6"/>
      <c r="O115" s="6"/>
      <c r="P115" s="18">
        <f t="shared" si="9"/>
        <v>1260</v>
      </c>
      <c r="Q115" s="6"/>
    </row>
    <row r="116" spans="1:17" x14ac:dyDescent="0.25">
      <c r="A116" s="6">
        <v>9</v>
      </c>
      <c r="B116" s="6" t="s">
        <v>98</v>
      </c>
      <c r="C116" s="102" t="s">
        <v>187</v>
      </c>
      <c r="D116" s="104"/>
      <c r="E116" s="103"/>
      <c r="F116" s="24">
        <v>1680</v>
      </c>
      <c r="G116" s="102" t="s">
        <v>187</v>
      </c>
      <c r="H116" s="104"/>
      <c r="I116" s="104"/>
      <c r="J116" s="104"/>
      <c r="K116" s="104"/>
      <c r="L116" s="104"/>
      <c r="M116" s="104"/>
      <c r="N116" s="103"/>
      <c r="O116" s="24">
        <v>50</v>
      </c>
      <c r="P116" s="18">
        <f>SUM(C116:O116)</f>
        <v>1730</v>
      </c>
      <c r="Q116" s="6"/>
    </row>
    <row r="117" spans="1:17" x14ac:dyDescent="0.25">
      <c r="A117" s="6">
        <v>10</v>
      </c>
      <c r="B117" s="6" t="s">
        <v>546</v>
      </c>
      <c r="C117" s="95" t="s">
        <v>187</v>
      </c>
      <c r="D117" s="96"/>
      <c r="E117" s="96"/>
      <c r="F117" s="96"/>
      <c r="G117" s="96"/>
      <c r="H117" s="96"/>
      <c r="I117" s="96"/>
      <c r="J117" s="97"/>
      <c r="K117" s="6">
        <v>1820</v>
      </c>
      <c r="L117" s="95" t="s">
        <v>187</v>
      </c>
      <c r="M117" s="96"/>
      <c r="N117" s="97"/>
      <c r="O117" s="6"/>
      <c r="P117" s="18">
        <f t="shared" si="9"/>
        <v>1820</v>
      </c>
      <c r="Q117" s="6"/>
    </row>
    <row r="118" spans="1:17" x14ac:dyDescent="0.25">
      <c r="A118" s="6">
        <v>11</v>
      </c>
      <c r="B118" s="6" t="s">
        <v>186</v>
      </c>
      <c r="C118" s="6">
        <v>280</v>
      </c>
      <c r="D118" s="31" t="s">
        <v>187</v>
      </c>
      <c r="E118" s="6">
        <v>140</v>
      </c>
      <c r="F118" s="6">
        <v>140</v>
      </c>
      <c r="G118" s="6">
        <v>140</v>
      </c>
      <c r="H118" s="6">
        <v>140</v>
      </c>
      <c r="I118" s="6">
        <v>140</v>
      </c>
      <c r="J118" s="6">
        <v>140</v>
      </c>
      <c r="K118" s="31" t="s">
        <v>187</v>
      </c>
      <c r="L118" s="6">
        <v>280</v>
      </c>
      <c r="M118" s="6">
        <v>140</v>
      </c>
      <c r="N118" s="6"/>
      <c r="O118" s="6"/>
      <c r="P118" s="18">
        <f t="shared" si="9"/>
        <v>1540</v>
      </c>
      <c r="Q118" s="6"/>
    </row>
    <row r="119" spans="1:17" x14ac:dyDescent="0.25">
      <c r="A119" s="6">
        <v>12</v>
      </c>
      <c r="B119" s="6" t="s">
        <v>198</v>
      </c>
      <c r="C119" s="31" t="s">
        <v>187</v>
      </c>
      <c r="D119" s="6">
        <v>1260</v>
      </c>
      <c r="E119" s="95" t="s">
        <v>187</v>
      </c>
      <c r="F119" s="96"/>
      <c r="G119" s="96"/>
      <c r="H119" s="96"/>
      <c r="I119" s="96"/>
      <c r="J119" s="97"/>
      <c r="K119" s="31" t="s">
        <v>187</v>
      </c>
      <c r="L119" s="6">
        <v>980</v>
      </c>
      <c r="M119" s="6"/>
      <c r="N119" s="6"/>
      <c r="O119" s="6">
        <v>200</v>
      </c>
      <c r="P119" s="18">
        <f t="shared" si="9"/>
        <v>2440</v>
      </c>
      <c r="Q119" s="6"/>
    </row>
    <row r="120" spans="1:17" x14ac:dyDescent="0.25">
      <c r="A120" s="6">
        <v>13</v>
      </c>
      <c r="B120" s="6" t="s">
        <v>558</v>
      </c>
      <c r="C120" s="6">
        <v>300</v>
      </c>
      <c r="D120" s="31" t="s">
        <v>187</v>
      </c>
      <c r="E120" s="6">
        <v>300</v>
      </c>
      <c r="F120" s="6">
        <v>150</v>
      </c>
      <c r="G120" s="6">
        <v>150</v>
      </c>
      <c r="H120" s="6">
        <v>150</v>
      </c>
      <c r="I120" s="31" t="s">
        <v>187</v>
      </c>
      <c r="J120" s="6">
        <v>150</v>
      </c>
      <c r="K120" s="31" t="s">
        <v>187</v>
      </c>
      <c r="L120" s="6">
        <v>300</v>
      </c>
      <c r="M120" s="6"/>
      <c r="N120" s="6"/>
      <c r="O120" s="6">
        <v>50</v>
      </c>
      <c r="P120" s="18">
        <f t="shared" si="9"/>
        <v>1550</v>
      </c>
      <c r="Q120" s="6"/>
    </row>
    <row r="121" spans="1:17" x14ac:dyDescent="0.25">
      <c r="A121" s="6">
        <v>14</v>
      </c>
      <c r="B121" s="6" t="s">
        <v>102</v>
      </c>
      <c r="C121" s="6">
        <v>140</v>
      </c>
      <c r="D121" s="6">
        <v>140</v>
      </c>
      <c r="E121" s="6">
        <v>140</v>
      </c>
      <c r="F121" s="6">
        <v>140</v>
      </c>
      <c r="G121" s="6">
        <v>140</v>
      </c>
      <c r="H121" s="6">
        <v>140</v>
      </c>
      <c r="I121" s="6">
        <v>140</v>
      </c>
      <c r="J121" s="6">
        <v>140</v>
      </c>
      <c r="K121" s="6">
        <v>140</v>
      </c>
      <c r="L121" s="6">
        <v>140</v>
      </c>
      <c r="M121" s="6">
        <v>140</v>
      </c>
      <c r="N121" s="6"/>
      <c r="O121" s="6">
        <v>100</v>
      </c>
      <c r="P121" s="18">
        <f t="shared" si="9"/>
        <v>1640</v>
      </c>
      <c r="Q121" s="6"/>
    </row>
    <row r="122" spans="1:17" x14ac:dyDescent="0.25">
      <c r="A122" s="6">
        <v>15</v>
      </c>
      <c r="B122" s="6" t="s">
        <v>103</v>
      </c>
      <c r="C122" s="6">
        <v>140</v>
      </c>
      <c r="D122" s="31" t="s">
        <v>187</v>
      </c>
      <c r="E122" s="6">
        <v>420</v>
      </c>
      <c r="F122" s="6">
        <v>140</v>
      </c>
      <c r="G122" s="31" t="s">
        <v>187</v>
      </c>
      <c r="H122" s="6"/>
      <c r="I122" s="6">
        <v>280</v>
      </c>
      <c r="J122" s="6">
        <v>140</v>
      </c>
      <c r="K122" s="6"/>
      <c r="L122" s="6"/>
      <c r="M122" s="6"/>
      <c r="N122" s="6"/>
      <c r="O122" s="6"/>
      <c r="P122" s="18">
        <f t="shared" si="9"/>
        <v>1120</v>
      </c>
      <c r="Q122" s="6"/>
    </row>
    <row r="123" spans="1:17" x14ac:dyDescent="0.25">
      <c r="A123" s="6">
        <v>16</v>
      </c>
      <c r="B123" s="6" t="s">
        <v>104</v>
      </c>
      <c r="C123" s="6">
        <v>150</v>
      </c>
      <c r="D123" s="31" t="s">
        <v>187</v>
      </c>
      <c r="E123" s="6">
        <v>300</v>
      </c>
      <c r="F123" s="31" t="s">
        <v>187</v>
      </c>
      <c r="G123" s="6">
        <v>300</v>
      </c>
      <c r="H123" s="31" t="s">
        <v>187</v>
      </c>
      <c r="I123" s="6">
        <v>300</v>
      </c>
      <c r="J123" s="6">
        <v>150</v>
      </c>
      <c r="K123" s="31" t="s">
        <v>187</v>
      </c>
      <c r="L123" s="6">
        <v>300</v>
      </c>
      <c r="M123" s="6">
        <v>150</v>
      </c>
      <c r="N123" s="6"/>
      <c r="O123" s="6"/>
      <c r="P123" s="18">
        <f t="shared" si="9"/>
        <v>1650</v>
      </c>
      <c r="Q123" s="6"/>
    </row>
    <row r="124" spans="1:17" x14ac:dyDescent="0.25">
      <c r="A124" s="6">
        <v>17</v>
      </c>
      <c r="B124" s="6" t="s">
        <v>105</v>
      </c>
      <c r="C124" s="24">
        <v>900</v>
      </c>
      <c r="D124" s="102" t="s">
        <v>187</v>
      </c>
      <c r="E124" s="104"/>
      <c r="F124" s="104"/>
      <c r="G124" s="104"/>
      <c r="H124" s="103"/>
      <c r="I124" s="24">
        <v>900</v>
      </c>
      <c r="J124" s="102"/>
      <c r="K124" s="104"/>
      <c r="L124" s="104"/>
      <c r="M124" s="104"/>
      <c r="N124" s="103"/>
      <c r="O124" s="24">
        <v>50</v>
      </c>
      <c r="P124" s="18">
        <f t="shared" si="9"/>
        <v>1850</v>
      </c>
      <c r="Q124" s="6"/>
    </row>
    <row r="125" spans="1:17" ht="15.75" thickBot="1" x14ac:dyDescent="0.3">
      <c r="A125" s="105" t="s">
        <v>169</v>
      </c>
      <c r="B125" s="106"/>
      <c r="C125" s="20">
        <f>SUM(C105:C124)</f>
        <v>2890</v>
      </c>
      <c r="D125" s="20">
        <f t="shared" ref="D125:N125" si="10">SUM(D105:D124)</f>
        <v>1960</v>
      </c>
      <c r="E125" s="20">
        <f t="shared" si="10"/>
        <v>2700</v>
      </c>
      <c r="F125" s="20">
        <f t="shared" si="10"/>
        <v>4770</v>
      </c>
      <c r="G125" s="20">
        <f t="shared" si="10"/>
        <v>730</v>
      </c>
      <c r="H125" s="20">
        <f t="shared" si="10"/>
        <v>990</v>
      </c>
      <c r="I125" s="20">
        <f t="shared" si="10"/>
        <v>2600</v>
      </c>
      <c r="J125" s="20">
        <f t="shared" si="10"/>
        <v>1000</v>
      </c>
      <c r="K125" s="20">
        <f t="shared" si="10"/>
        <v>2380</v>
      </c>
      <c r="L125" s="20">
        <f t="shared" si="10"/>
        <v>2700</v>
      </c>
      <c r="M125" s="20">
        <f t="shared" si="10"/>
        <v>430</v>
      </c>
      <c r="N125" s="20">
        <f t="shared" si="10"/>
        <v>2028</v>
      </c>
      <c r="O125" s="6"/>
      <c r="P125" s="19">
        <f>SUM(P106:P124)</f>
        <v>24100</v>
      </c>
    </row>
    <row r="126" spans="1:17" ht="15.75" thickTop="1" x14ac:dyDescent="0.25"/>
    <row r="128" spans="1:17" ht="15.75" x14ac:dyDescent="0.25">
      <c r="A128" s="1"/>
      <c r="B128" s="1"/>
      <c r="C128" s="1"/>
      <c r="D128" s="1"/>
      <c r="E128" s="1"/>
      <c r="F128" s="2"/>
      <c r="G128" s="1"/>
      <c r="H128" s="1"/>
      <c r="I128" s="1"/>
      <c r="J128" s="1"/>
      <c r="K128" s="1"/>
      <c r="L128" s="1"/>
      <c r="M128" s="3" t="s">
        <v>1</v>
      </c>
      <c r="N128" s="4">
        <v>6</v>
      </c>
    </row>
    <row r="129" spans="1:1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3" t="s">
        <v>2</v>
      </c>
      <c r="N129" s="4">
        <v>2023</v>
      </c>
      <c r="O129" s="1"/>
    </row>
    <row r="130" spans="1:17" x14ac:dyDescent="0.25">
      <c r="A130" s="5" t="s">
        <v>3</v>
      </c>
      <c r="B130" s="5" t="s">
        <v>4</v>
      </c>
      <c r="C130" s="5" t="s">
        <v>5</v>
      </c>
      <c r="D130" s="5" t="s">
        <v>6</v>
      </c>
      <c r="E130" s="5" t="s">
        <v>7</v>
      </c>
      <c r="F130" s="5" t="s">
        <v>8</v>
      </c>
      <c r="G130" s="5" t="s">
        <v>9</v>
      </c>
      <c r="H130" s="5" t="s">
        <v>10</v>
      </c>
      <c r="I130" s="5" t="s">
        <v>11</v>
      </c>
      <c r="J130" s="5" t="s">
        <v>12</v>
      </c>
      <c r="K130" s="5" t="s">
        <v>13</v>
      </c>
      <c r="L130" s="5" t="s">
        <v>14</v>
      </c>
      <c r="M130" s="5" t="s">
        <v>15</v>
      </c>
      <c r="N130" s="5" t="s">
        <v>16</v>
      </c>
      <c r="O130" s="5" t="s">
        <v>170</v>
      </c>
      <c r="P130" s="17" t="s">
        <v>169</v>
      </c>
      <c r="Q130" s="5" t="s">
        <v>171</v>
      </c>
    </row>
    <row r="131" spans="1:17" x14ac:dyDescent="0.25">
      <c r="A131" s="6">
        <v>1</v>
      </c>
      <c r="B131" s="6" t="s">
        <v>106</v>
      </c>
      <c r="C131" s="25">
        <v>140</v>
      </c>
      <c r="D131" s="25">
        <v>140</v>
      </c>
      <c r="E131" s="25">
        <v>140</v>
      </c>
      <c r="F131" s="25">
        <v>140</v>
      </c>
      <c r="G131" s="25">
        <v>140</v>
      </c>
      <c r="H131" s="25">
        <v>140</v>
      </c>
      <c r="I131" s="25">
        <v>140</v>
      </c>
      <c r="J131" s="25">
        <v>140</v>
      </c>
      <c r="K131" s="25">
        <v>140</v>
      </c>
      <c r="L131" s="25">
        <v>140</v>
      </c>
      <c r="M131" s="25">
        <v>140</v>
      </c>
      <c r="N131" s="25"/>
      <c r="O131" s="6"/>
      <c r="P131" s="18">
        <f t="shared" ref="P131:P147" si="11">SUM(C133:O133)</f>
        <v>1400</v>
      </c>
      <c r="Q131" s="6"/>
    </row>
    <row r="132" spans="1:17" x14ac:dyDescent="0.25">
      <c r="A132" s="6">
        <v>2</v>
      </c>
      <c r="B132" s="6" t="s">
        <v>107</v>
      </c>
      <c r="C132" s="95" t="s">
        <v>187</v>
      </c>
      <c r="D132" s="96"/>
      <c r="E132" s="96"/>
      <c r="F132" s="97"/>
      <c r="G132" s="6">
        <v>700</v>
      </c>
      <c r="H132" s="95" t="s">
        <v>187</v>
      </c>
      <c r="I132" s="96"/>
      <c r="J132" s="97"/>
      <c r="K132" s="6">
        <v>560</v>
      </c>
      <c r="L132" s="6"/>
      <c r="M132" s="6"/>
      <c r="N132" s="6"/>
      <c r="O132" s="6"/>
      <c r="P132" s="18">
        <f t="shared" si="11"/>
        <v>1680</v>
      </c>
      <c r="Q132" s="6"/>
    </row>
    <row r="133" spans="1:17" x14ac:dyDescent="0.25">
      <c r="A133" s="6">
        <v>3</v>
      </c>
      <c r="B133" s="6" t="s">
        <v>108</v>
      </c>
      <c r="C133" s="6">
        <v>140</v>
      </c>
      <c r="D133" s="6">
        <v>140</v>
      </c>
      <c r="E133" s="6">
        <v>140</v>
      </c>
      <c r="F133" s="6">
        <v>280</v>
      </c>
      <c r="G133" s="31" t="s">
        <v>187</v>
      </c>
      <c r="H133" s="6">
        <v>140</v>
      </c>
      <c r="I133" s="6">
        <v>140</v>
      </c>
      <c r="J133" s="6">
        <v>140</v>
      </c>
      <c r="K133" s="6">
        <v>280</v>
      </c>
      <c r="L133" s="6"/>
      <c r="M133" s="6"/>
      <c r="N133" s="6"/>
      <c r="O133" s="6"/>
      <c r="P133" s="18" t="s">
        <v>433</v>
      </c>
      <c r="Q133" s="6"/>
    </row>
    <row r="134" spans="1:17" x14ac:dyDescent="0.25">
      <c r="A134" s="6">
        <v>4</v>
      </c>
      <c r="B134" s="6" t="s">
        <v>109</v>
      </c>
      <c r="C134" s="95" t="s">
        <v>187</v>
      </c>
      <c r="D134" s="96"/>
      <c r="E134" s="97"/>
      <c r="F134" s="6">
        <v>700</v>
      </c>
      <c r="G134" s="31" t="s">
        <v>187</v>
      </c>
      <c r="H134" s="6">
        <v>280</v>
      </c>
      <c r="I134" s="95" t="s">
        <v>187</v>
      </c>
      <c r="J134" s="97"/>
      <c r="K134" s="6">
        <v>280</v>
      </c>
      <c r="L134" s="31" t="s">
        <v>187</v>
      </c>
      <c r="M134" s="6">
        <v>420</v>
      </c>
      <c r="N134" s="31" t="s">
        <v>187</v>
      </c>
      <c r="O134" s="6"/>
      <c r="P134" s="18" t="s">
        <v>392</v>
      </c>
      <c r="Q134" s="6"/>
    </row>
    <row r="135" spans="1:17" x14ac:dyDescent="0.25">
      <c r="A135" s="6">
        <v>5</v>
      </c>
      <c r="B135" s="6" t="s">
        <v>110</v>
      </c>
      <c r="C135" s="95" t="s">
        <v>187</v>
      </c>
      <c r="D135" s="96"/>
      <c r="E135" s="96"/>
      <c r="F135" s="96"/>
      <c r="G135" s="96"/>
      <c r="H135" s="97"/>
      <c r="I135" s="6">
        <v>980</v>
      </c>
      <c r="J135" s="6"/>
      <c r="K135" s="6"/>
      <c r="L135" s="6"/>
      <c r="M135" s="6"/>
      <c r="N135" s="6"/>
      <c r="O135" s="6"/>
      <c r="P135" s="18"/>
      <c r="Q135" s="6"/>
    </row>
    <row r="136" spans="1:17" x14ac:dyDescent="0.25">
      <c r="A136" s="6">
        <v>6</v>
      </c>
      <c r="B136" s="6" t="s">
        <v>199</v>
      </c>
      <c r="C136" s="31" t="s">
        <v>187</v>
      </c>
      <c r="D136" s="6">
        <v>560</v>
      </c>
      <c r="E136" s="6">
        <v>140</v>
      </c>
      <c r="F136" s="6">
        <v>280</v>
      </c>
      <c r="G136" s="31" t="s">
        <v>187</v>
      </c>
      <c r="H136" s="6">
        <v>140</v>
      </c>
      <c r="I136" s="6">
        <v>140</v>
      </c>
      <c r="J136" s="31" t="s">
        <v>187</v>
      </c>
      <c r="K136" s="6">
        <v>280</v>
      </c>
      <c r="L136" s="31" t="s">
        <v>187</v>
      </c>
      <c r="M136" s="6">
        <v>280</v>
      </c>
      <c r="N136" s="6"/>
      <c r="O136" s="6">
        <v>100</v>
      </c>
      <c r="P136" s="18">
        <f>SUM(C138:O138)</f>
        <v>1540</v>
      </c>
      <c r="Q136" s="6"/>
    </row>
    <row r="137" spans="1:17" x14ac:dyDescent="0.25">
      <c r="A137" s="6">
        <v>7</v>
      </c>
      <c r="B137" s="6" t="s">
        <v>111</v>
      </c>
      <c r="C137" s="6">
        <v>140</v>
      </c>
      <c r="D137" s="6">
        <v>140</v>
      </c>
      <c r="E137" s="6">
        <v>140</v>
      </c>
      <c r="F137" s="6">
        <v>140</v>
      </c>
      <c r="G137" s="6">
        <v>140</v>
      </c>
      <c r="H137" s="6">
        <v>140</v>
      </c>
      <c r="I137" s="6">
        <v>140</v>
      </c>
      <c r="J137" s="6">
        <v>140</v>
      </c>
      <c r="K137" s="6">
        <v>140</v>
      </c>
      <c r="L137" s="6">
        <v>140</v>
      </c>
      <c r="M137" s="6">
        <v>140</v>
      </c>
      <c r="N137" s="6"/>
      <c r="O137" s="6"/>
      <c r="P137" s="18">
        <f t="shared" si="11"/>
        <v>1680</v>
      </c>
      <c r="Q137" s="6"/>
    </row>
    <row r="138" spans="1:17" x14ac:dyDescent="0.25">
      <c r="A138" s="6">
        <v>8</v>
      </c>
      <c r="B138" s="6" t="s">
        <v>112</v>
      </c>
      <c r="C138" s="25">
        <v>140</v>
      </c>
      <c r="D138" s="25">
        <v>140</v>
      </c>
      <c r="E138" s="25">
        <v>140</v>
      </c>
      <c r="F138" s="25">
        <v>140</v>
      </c>
      <c r="G138" s="25">
        <v>140</v>
      </c>
      <c r="H138" s="25">
        <v>140</v>
      </c>
      <c r="I138" s="25">
        <v>140</v>
      </c>
      <c r="J138" s="25">
        <v>140</v>
      </c>
      <c r="K138" s="25">
        <v>140</v>
      </c>
      <c r="L138" s="25">
        <v>140</v>
      </c>
      <c r="M138" s="25">
        <v>140</v>
      </c>
      <c r="N138" s="25"/>
      <c r="O138" s="6"/>
      <c r="P138" s="18">
        <f t="shared" si="11"/>
        <v>2340</v>
      </c>
      <c r="Q138" s="6"/>
    </row>
    <row r="139" spans="1:17" x14ac:dyDescent="0.25">
      <c r="A139" s="6">
        <v>9</v>
      </c>
      <c r="B139" s="6" t="s">
        <v>113</v>
      </c>
      <c r="C139" s="95" t="s">
        <v>187</v>
      </c>
      <c r="D139" s="96"/>
      <c r="E139" s="96"/>
      <c r="F139" s="96"/>
      <c r="G139" s="96"/>
      <c r="H139" s="97"/>
      <c r="I139" s="6">
        <v>1680</v>
      </c>
      <c r="J139" s="95" t="s">
        <v>187</v>
      </c>
      <c r="K139" s="96"/>
      <c r="L139" s="96"/>
      <c r="M139" s="96"/>
      <c r="N139" s="97"/>
      <c r="O139" s="6"/>
      <c r="P139" s="18"/>
      <c r="Q139" s="6"/>
    </row>
    <row r="140" spans="1:17" x14ac:dyDescent="0.25">
      <c r="A140" s="6">
        <v>10</v>
      </c>
      <c r="B140" s="6" t="s">
        <v>436</v>
      </c>
      <c r="C140" s="95" t="s">
        <v>187</v>
      </c>
      <c r="D140" s="96"/>
      <c r="E140" s="96"/>
      <c r="F140" s="96"/>
      <c r="G140" s="97"/>
      <c r="H140" s="6">
        <v>2240</v>
      </c>
      <c r="I140" s="6"/>
      <c r="J140" s="6"/>
      <c r="K140" s="6"/>
      <c r="L140" s="6"/>
      <c r="M140" s="6"/>
      <c r="N140" s="6"/>
      <c r="O140" s="6">
        <v>100</v>
      </c>
      <c r="P140" s="18"/>
      <c r="Q140" s="6"/>
    </row>
    <row r="141" spans="1:17" x14ac:dyDescent="0.25">
      <c r="A141" s="6">
        <v>11</v>
      </c>
      <c r="B141" s="6" t="s">
        <v>114</v>
      </c>
      <c r="C141" s="102" t="s">
        <v>187</v>
      </c>
      <c r="D141" s="104"/>
      <c r="E141" s="103"/>
      <c r="F141" s="24">
        <v>840</v>
      </c>
      <c r="G141" s="102" t="s">
        <v>187</v>
      </c>
      <c r="H141" s="104"/>
      <c r="I141" s="104"/>
      <c r="J141" s="104"/>
      <c r="K141" s="104"/>
      <c r="L141" s="104"/>
      <c r="M141" s="104"/>
      <c r="N141" s="103"/>
      <c r="O141" s="24">
        <v>250</v>
      </c>
      <c r="P141" s="18"/>
      <c r="Q141" s="6"/>
    </row>
    <row r="142" spans="1:17" x14ac:dyDescent="0.25">
      <c r="A142" s="6">
        <v>12</v>
      </c>
      <c r="B142" s="6" t="s">
        <v>115</v>
      </c>
      <c r="C142" s="95" t="s">
        <v>187</v>
      </c>
      <c r="D142" s="97"/>
      <c r="E142" s="6">
        <v>420</v>
      </c>
      <c r="F142" s="95" t="s">
        <v>187</v>
      </c>
      <c r="G142" s="96"/>
      <c r="H142" s="97"/>
      <c r="I142" s="6">
        <v>1000</v>
      </c>
      <c r="J142" s="95" t="s">
        <v>187</v>
      </c>
      <c r="K142" s="96"/>
      <c r="L142" s="97"/>
      <c r="M142" s="6"/>
      <c r="N142" s="6"/>
      <c r="O142" s="6"/>
      <c r="P142" s="18">
        <f t="shared" si="11"/>
        <v>1400</v>
      </c>
      <c r="Q142" s="6"/>
    </row>
    <row r="143" spans="1:17" x14ac:dyDescent="0.25">
      <c r="A143" s="6">
        <v>13</v>
      </c>
      <c r="B143" s="6" t="s">
        <v>116</v>
      </c>
      <c r="C143" s="95" t="s">
        <v>187</v>
      </c>
      <c r="D143" s="96"/>
      <c r="E143" s="97"/>
      <c r="F143" s="6">
        <v>600</v>
      </c>
      <c r="G143" s="31" t="s">
        <v>187</v>
      </c>
      <c r="H143" s="6">
        <v>300</v>
      </c>
      <c r="I143" s="31" t="s">
        <v>187</v>
      </c>
      <c r="J143" s="6">
        <v>300</v>
      </c>
      <c r="K143" s="95" t="s">
        <v>187</v>
      </c>
      <c r="L143" s="97"/>
      <c r="M143" s="6">
        <v>450</v>
      </c>
      <c r="N143" s="6"/>
      <c r="O143" s="6"/>
      <c r="P143" s="18">
        <f t="shared" si="11"/>
        <v>1260</v>
      </c>
      <c r="Q143" s="6"/>
    </row>
    <row r="144" spans="1:17" x14ac:dyDescent="0.25">
      <c r="A144" s="6">
        <v>14</v>
      </c>
      <c r="B144" s="6" t="s">
        <v>117</v>
      </c>
      <c r="C144" s="95" t="s">
        <v>187</v>
      </c>
      <c r="D144" s="96"/>
      <c r="E144" s="96"/>
      <c r="F144" s="97"/>
      <c r="G144" s="31" t="s">
        <v>187</v>
      </c>
      <c r="H144" s="6">
        <v>700</v>
      </c>
      <c r="I144" s="31" t="s">
        <v>187</v>
      </c>
      <c r="J144" s="6">
        <v>700</v>
      </c>
      <c r="K144" s="31" t="s">
        <v>187</v>
      </c>
      <c r="L144" s="6"/>
      <c r="M144" s="6"/>
      <c r="N144" s="6"/>
      <c r="O144" s="6"/>
      <c r="P144" s="18"/>
      <c r="Q144" s="6"/>
    </row>
    <row r="145" spans="1:17" x14ac:dyDescent="0.25">
      <c r="A145" s="6">
        <v>15</v>
      </c>
      <c r="B145" s="6" t="s">
        <v>118</v>
      </c>
      <c r="C145" s="95" t="s">
        <v>187</v>
      </c>
      <c r="D145" s="96"/>
      <c r="E145" s="96"/>
      <c r="F145" s="96"/>
      <c r="G145" s="97"/>
      <c r="H145" s="6">
        <v>700</v>
      </c>
      <c r="I145" s="95" t="s">
        <v>187</v>
      </c>
      <c r="J145" s="97"/>
      <c r="K145" s="6">
        <v>560</v>
      </c>
      <c r="L145" s="6"/>
      <c r="M145" s="6"/>
      <c r="N145" s="6"/>
      <c r="O145" s="6"/>
      <c r="P145" s="18">
        <f t="shared" si="11"/>
        <v>1850</v>
      </c>
      <c r="Q145" s="6"/>
    </row>
    <row r="146" spans="1:17" x14ac:dyDescent="0.25">
      <c r="A146" s="6">
        <v>16</v>
      </c>
      <c r="B146" s="6" t="s">
        <v>515</v>
      </c>
      <c r="C146" s="95" t="s">
        <v>187</v>
      </c>
      <c r="D146" s="97"/>
      <c r="E146" s="6">
        <v>450</v>
      </c>
      <c r="F146" s="6">
        <v>150</v>
      </c>
      <c r="G146" s="31" t="s">
        <v>187</v>
      </c>
      <c r="H146" s="6">
        <v>150</v>
      </c>
      <c r="I146" s="6">
        <v>150</v>
      </c>
      <c r="J146" s="6">
        <v>300</v>
      </c>
      <c r="K146" s="6">
        <v>150</v>
      </c>
      <c r="L146" s="6"/>
      <c r="M146" s="6"/>
      <c r="N146" s="6"/>
      <c r="O146" s="6">
        <v>150</v>
      </c>
      <c r="P146" s="18"/>
      <c r="Q146" s="6"/>
    </row>
    <row r="147" spans="1:17" x14ac:dyDescent="0.25">
      <c r="A147" s="6">
        <v>17</v>
      </c>
      <c r="B147" s="6" t="s">
        <v>120</v>
      </c>
      <c r="C147" s="99" t="s">
        <v>187</v>
      </c>
      <c r="D147" s="100"/>
      <c r="E147" s="101"/>
      <c r="F147" s="25">
        <v>1800</v>
      </c>
      <c r="G147" s="99" t="s">
        <v>187</v>
      </c>
      <c r="H147" s="100"/>
      <c r="I147" s="100"/>
      <c r="J147" s="100"/>
      <c r="K147" s="100"/>
      <c r="L147" s="100"/>
      <c r="M147" s="100"/>
      <c r="N147" s="101"/>
      <c r="O147" s="25">
        <v>50</v>
      </c>
      <c r="P147" s="18">
        <f t="shared" si="11"/>
        <v>0</v>
      </c>
      <c r="Q147" s="6"/>
    </row>
    <row r="148" spans="1:17" x14ac:dyDescent="0.25">
      <c r="A148" s="105" t="s">
        <v>169</v>
      </c>
      <c r="B148" s="106"/>
      <c r="C148" s="20">
        <f>SUM(C128:C147)</f>
        <v>560</v>
      </c>
      <c r="D148" s="20">
        <f t="shared" ref="D148:M148" si="12">SUM(D128:D147)</f>
        <v>1120</v>
      </c>
      <c r="E148" s="20">
        <f t="shared" si="12"/>
        <v>1570</v>
      </c>
      <c r="F148" s="20">
        <f t="shared" si="12"/>
        <v>5070</v>
      </c>
      <c r="G148" s="20">
        <f t="shared" si="12"/>
        <v>1120</v>
      </c>
      <c r="H148" s="20">
        <f t="shared" si="12"/>
        <v>5070</v>
      </c>
      <c r="I148" s="20">
        <f t="shared" si="12"/>
        <v>4510</v>
      </c>
      <c r="J148" s="20">
        <f t="shared" si="12"/>
        <v>1860</v>
      </c>
      <c r="K148" s="20">
        <f t="shared" si="12"/>
        <v>2530</v>
      </c>
      <c r="L148" s="20">
        <f t="shared" si="12"/>
        <v>420</v>
      </c>
      <c r="M148" s="20">
        <f t="shared" si="12"/>
        <v>1570</v>
      </c>
      <c r="N148" s="20"/>
      <c r="O148" s="6"/>
      <c r="P148" s="18">
        <f>SUM(P129:P147)</f>
        <v>13150</v>
      </c>
    </row>
    <row r="152" spans="1:17" s="44" customFormat="1" ht="15.75" x14ac:dyDescent="0.25">
      <c r="A152" s="111" t="s">
        <v>568</v>
      </c>
      <c r="B152" s="111"/>
      <c r="C152" s="111"/>
      <c r="D152" s="111"/>
      <c r="E152" s="111"/>
      <c r="F152" s="111"/>
      <c r="G152" s="111"/>
    </row>
    <row r="153" spans="1:17" ht="15.75" x14ac:dyDescent="0.25">
      <c r="A153" s="44" t="s">
        <v>569</v>
      </c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</row>
  </sheetData>
  <mergeCells count="129">
    <mergeCell ref="D94:N94"/>
    <mergeCell ref="C85:D85"/>
    <mergeCell ref="D109:E109"/>
    <mergeCell ref="K6:L6"/>
    <mergeCell ref="F93:G93"/>
    <mergeCell ref="G86:H86"/>
    <mergeCell ref="H6:I6"/>
    <mergeCell ref="E60:I60"/>
    <mergeCell ref="H15:I15"/>
    <mergeCell ref="G14:H14"/>
    <mergeCell ref="J57:L57"/>
    <mergeCell ref="C43:G43"/>
    <mergeCell ref="D39:H39"/>
    <mergeCell ref="J39:N39"/>
    <mergeCell ref="C41:D41"/>
    <mergeCell ref="J42:N42"/>
    <mergeCell ref="D47:H47"/>
    <mergeCell ref="J47:N47"/>
    <mergeCell ref="H25:J25"/>
    <mergeCell ref="C8:D8"/>
    <mergeCell ref="D48:G48"/>
    <mergeCell ref="C42:H42"/>
    <mergeCell ref="C45:E45"/>
    <mergeCell ref="H56:I56"/>
    <mergeCell ref="I43:N43"/>
    <mergeCell ref="E67:F67"/>
    <mergeCell ref="D56:F56"/>
    <mergeCell ref="E63:F63"/>
    <mergeCell ref="L18:M18"/>
    <mergeCell ref="C24:G24"/>
    <mergeCell ref="C19:G19"/>
    <mergeCell ref="C38:F38"/>
    <mergeCell ref="F35:G35"/>
    <mergeCell ref="C17:E17"/>
    <mergeCell ref="I45:K45"/>
    <mergeCell ref="M45:N45"/>
    <mergeCell ref="K13:L13"/>
    <mergeCell ref="C16:L16"/>
    <mergeCell ref="K46:L46"/>
    <mergeCell ref="A152:G152"/>
    <mergeCell ref="D22:N22"/>
    <mergeCell ref="A49:B49"/>
    <mergeCell ref="C37:D37"/>
    <mergeCell ref="A26:B26"/>
    <mergeCell ref="C23:E23"/>
    <mergeCell ref="G23:O23"/>
    <mergeCell ref="A148:B148"/>
    <mergeCell ref="A75:B75"/>
    <mergeCell ref="A102:B102"/>
    <mergeCell ref="A125:B125"/>
    <mergeCell ref="D124:H124"/>
    <mergeCell ref="D110:E110"/>
    <mergeCell ref="C115:E115"/>
    <mergeCell ref="G45:H45"/>
    <mergeCell ref="C139:H139"/>
    <mergeCell ref="C25:F25"/>
    <mergeCell ref="C83:D83"/>
    <mergeCell ref="D86:E86"/>
    <mergeCell ref="C108:D108"/>
    <mergeCell ref="G110:H110"/>
    <mergeCell ref="G116:N116"/>
    <mergeCell ref="C116:E116"/>
    <mergeCell ref="D98:E98"/>
    <mergeCell ref="C140:G140"/>
    <mergeCell ref="C144:F144"/>
    <mergeCell ref="E119:J119"/>
    <mergeCell ref="I110:J110"/>
    <mergeCell ref="M110:N110"/>
    <mergeCell ref="M99:N99"/>
    <mergeCell ref="C135:H135"/>
    <mergeCell ref="J86:K86"/>
    <mergeCell ref="E87:G87"/>
    <mergeCell ref="C117:J117"/>
    <mergeCell ref="H132:J132"/>
    <mergeCell ref="L117:N117"/>
    <mergeCell ref="I134:J134"/>
    <mergeCell ref="C87:D87"/>
    <mergeCell ref="G99:H99"/>
    <mergeCell ref="J99:K99"/>
    <mergeCell ref="C88:G88"/>
    <mergeCell ref="K143:L143"/>
    <mergeCell ref="C134:E134"/>
    <mergeCell ref="C132:F132"/>
    <mergeCell ref="F101:H101"/>
    <mergeCell ref="J139:N139"/>
    <mergeCell ref="J124:N124"/>
    <mergeCell ref="E112:H112"/>
    <mergeCell ref="C147:E147"/>
    <mergeCell ref="G147:N147"/>
    <mergeCell ref="C145:G145"/>
    <mergeCell ref="C143:E143"/>
    <mergeCell ref="C141:E141"/>
    <mergeCell ref="G141:N141"/>
    <mergeCell ref="F142:H142"/>
    <mergeCell ref="J142:L142"/>
    <mergeCell ref="C146:D146"/>
    <mergeCell ref="C142:D142"/>
    <mergeCell ref="I145:J145"/>
    <mergeCell ref="I41:J41"/>
    <mergeCell ref="L41:O41"/>
    <mergeCell ref="I35:J35"/>
    <mergeCell ref="L11:N11"/>
    <mergeCell ref="C40:J40"/>
    <mergeCell ref="I58:J58"/>
    <mergeCell ref="C59:I59"/>
    <mergeCell ref="C11:J11"/>
    <mergeCell ref="G17:J17"/>
    <mergeCell ref="L17:N17"/>
    <mergeCell ref="D44:H44"/>
    <mergeCell ref="I44:L44"/>
    <mergeCell ref="J84:L84"/>
    <mergeCell ref="I48:L48"/>
    <mergeCell ref="L93:M93"/>
    <mergeCell ref="E58:G58"/>
    <mergeCell ref="C71:G71"/>
    <mergeCell ref="J71:N71"/>
    <mergeCell ref="C73:H73"/>
    <mergeCell ref="C70:H70"/>
    <mergeCell ref="C69:F69"/>
    <mergeCell ref="H69:O69"/>
    <mergeCell ref="J63:K63"/>
    <mergeCell ref="M86:N86"/>
    <mergeCell ref="H82:N82"/>
    <mergeCell ref="C82:F82"/>
    <mergeCell ref="E64:N64"/>
    <mergeCell ref="C68:N68"/>
    <mergeCell ref="J72:K72"/>
    <mergeCell ref="D84:F84"/>
    <mergeCell ref="F85:N85"/>
  </mergeCells>
  <pageMargins left="0.7" right="0.7" top="0.75" bottom="0.75" header="0.3" footer="0.3"/>
  <pageSetup paperSize="9" orientation="portrait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E05FF-0D0C-4FAD-8B2F-F5D543401D14}">
  <sheetPr>
    <tabColor theme="5"/>
  </sheetPr>
  <dimension ref="B1:P93"/>
  <sheetViews>
    <sheetView showGridLines="0" zoomScaleNormal="100" workbookViewId="0">
      <pane ySplit="6" topLeftCell="A7" activePane="bottomLeft" state="frozenSplit"/>
      <selection activeCell="B7" activeCellId="4" sqref="C26 B16 C18 C24 B7"/>
      <selection pane="bottomLeft" activeCell="H72" sqref="H72"/>
    </sheetView>
  </sheetViews>
  <sheetFormatPr defaultColWidth="11.42578125" defaultRowHeight="15" x14ac:dyDescent="0.25"/>
  <cols>
    <col min="1" max="1" width="11.42578125" style="7"/>
    <col min="2" max="2" width="18.85546875" style="7" customWidth="1"/>
    <col min="3" max="3" width="20.28515625" style="7" bestFit="1" customWidth="1"/>
    <col min="4" max="4" width="18.42578125" style="7" bestFit="1" customWidth="1"/>
    <col min="5" max="5" width="15.28515625" style="7" customWidth="1"/>
    <col min="6" max="6" width="12.42578125" style="7" bestFit="1" customWidth="1"/>
    <col min="7" max="7" width="11.42578125" style="7"/>
    <col min="8" max="8" width="11.42578125" style="28"/>
    <col min="9" max="10" width="11.42578125" style="7"/>
    <col min="11" max="11" width="45" style="7" customWidth="1"/>
    <col min="12" max="12" width="12.7109375" style="7" bestFit="1" customWidth="1"/>
    <col min="13" max="16384" width="11.42578125" style="7"/>
  </cols>
  <sheetData>
    <row r="1" spans="2:16" x14ac:dyDescent="0.25">
      <c r="M1" s="15" t="s">
        <v>2</v>
      </c>
    </row>
    <row r="2" spans="2:16" x14ac:dyDescent="0.25">
      <c r="L2" s="10" t="s">
        <v>130</v>
      </c>
      <c r="M2" s="14">
        <v>2022</v>
      </c>
      <c r="N2" s="9">
        <f>SUMIFS(Tableau3[[#All],[Montant]],Tableau3[[#All],[Mode Recette]],"Espèce",Tableau3[[#All],[Année]],M2)</f>
        <v>22837</v>
      </c>
    </row>
    <row r="3" spans="2:16" ht="8.25" customHeight="1" x14ac:dyDescent="0.25"/>
    <row r="4" spans="2:16" x14ac:dyDescent="0.25">
      <c r="L4" s="10" t="s">
        <v>131</v>
      </c>
      <c r="M4" s="14">
        <v>2022</v>
      </c>
      <c r="N4" s="9">
        <f>SUMIFS(Tableau3[[#All],[Montant]],Tableau3[[#All],[Mode Recette]],"Chèque",Tableau3[[#All],[Année]],M4)</f>
        <v>4000</v>
      </c>
    </row>
    <row r="5" spans="2:16" x14ac:dyDescent="0.25">
      <c r="J5" s="49">
        <f>SUBTOTAL(109,J6:J68)</f>
        <v>9303</v>
      </c>
      <c r="N5" s="7">
        <f>SUMIFS(J6:J68,I6:I68,"2022",H6:H68,"1",D6:D68,"Espèce")</f>
        <v>0</v>
      </c>
      <c r="P5" s="48">
        <f>SUMIFS(J6:J68,I6:I68,"2022",H6:H68,"1",D6:D68,"Espèce")</f>
        <v>0</v>
      </c>
    </row>
    <row r="6" spans="2:16" x14ac:dyDescent="0.25">
      <c r="B6" s="11" t="s">
        <v>121</v>
      </c>
      <c r="C6" s="11" t="s">
        <v>122</v>
      </c>
      <c r="D6" s="11" t="s">
        <v>126</v>
      </c>
      <c r="E6" s="11" t="s">
        <v>129</v>
      </c>
      <c r="F6" s="11" t="s">
        <v>579</v>
      </c>
      <c r="G6" s="11" t="s">
        <v>123</v>
      </c>
      <c r="H6" s="27" t="s">
        <v>241</v>
      </c>
      <c r="I6" s="27" t="s">
        <v>2</v>
      </c>
      <c r="J6" s="12" t="s">
        <v>124</v>
      </c>
      <c r="K6" s="11" t="s">
        <v>171</v>
      </c>
    </row>
    <row r="7" spans="2:16" x14ac:dyDescent="0.25">
      <c r="C7" s="7" t="s">
        <v>203</v>
      </c>
      <c r="D7" s="7" t="s">
        <v>132</v>
      </c>
      <c r="F7" s="7" t="s">
        <v>580</v>
      </c>
      <c r="G7" s="13">
        <v>44566</v>
      </c>
      <c r="H7" s="7">
        <f t="shared" ref="H7:H20" si="0">MONTH(G7)</f>
        <v>1</v>
      </c>
      <c r="I7" s="28">
        <f>YEAR(Tableau3[[#This Row],[Date]])</f>
        <v>2022</v>
      </c>
      <c r="J7" s="8">
        <v>3500</v>
      </c>
      <c r="K7" s="7" t="s">
        <v>444</v>
      </c>
    </row>
    <row r="8" spans="2:16" hidden="1" x14ac:dyDescent="0.25">
      <c r="C8" s="7" t="s">
        <v>203</v>
      </c>
      <c r="D8" s="7" t="s">
        <v>132</v>
      </c>
      <c r="F8" s="7" t="s">
        <v>580</v>
      </c>
      <c r="G8" s="13">
        <v>44600</v>
      </c>
      <c r="H8" s="7">
        <f t="shared" si="0"/>
        <v>2</v>
      </c>
      <c r="I8" s="28">
        <f>YEAR(Tableau3[[#This Row],[Date]])</f>
        <v>2022</v>
      </c>
      <c r="J8" s="8">
        <v>3500</v>
      </c>
      <c r="K8" s="7" t="s">
        <v>446</v>
      </c>
    </row>
    <row r="9" spans="2:16" hidden="1" x14ac:dyDescent="0.25">
      <c r="C9" s="7" t="s">
        <v>203</v>
      </c>
      <c r="D9" s="7" t="s">
        <v>132</v>
      </c>
      <c r="F9" s="7" t="s">
        <v>580</v>
      </c>
      <c r="G9" s="13">
        <v>44621</v>
      </c>
      <c r="H9" s="7">
        <f t="shared" si="0"/>
        <v>3</v>
      </c>
      <c r="I9" s="28">
        <f>YEAR(Tableau3[[#This Row],[Date]])</f>
        <v>2022</v>
      </c>
      <c r="J9" s="8">
        <v>3500</v>
      </c>
      <c r="K9" s="7" t="s">
        <v>442</v>
      </c>
    </row>
    <row r="10" spans="2:16" hidden="1" x14ac:dyDescent="0.25">
      <c r="C10" s="7" t="s">
        <v>203</v>
      </c>
      <c r="D10" s="7" t="s">
        <v>132</v>
      </c>
      <c r="F10" s="7" t="s">
        <v>580</v>
      </c>
      <c r="G10" s="13">
        <v>44657</v>
      </c>
      <c r="H10" s="7">
        <f t="shared" si="0"/>
        <v>4</v>
      </c>
      <c r="I10" s="28">
        <f>YEAR(Tableau3[[#This Row],[Date]])</f>
        <v>2022</v>
      </c>
      <c r="J10" s="8">
        <v>3500</v>
      </c>
      <c r="K10" s="7" t="s">
        <v>447</v>
      </c>
    </row>
    <row r="11" spans="2:16" hidden="1" x14ac:dyDescent="0.25">
      <c r="C11" s="7" t="s">
        <v>203</v>
      </c>
      <c r="D11" s="7" t="s">
        <v>132</v>
      </c>
      <c r="F11" s="7" t="s">
        <v>580</v>
      </c>
      <c r="G11" s="13">
        <v>44691</v>
      </c>
      <c r="H11" s="7">
        <f t="shared" si="0"/>
        <v>5</v>
      </c>
      <c r="I11" s="28">
        <f>YEAR(Tableau3[[#This Row],[Date]])</f>
        <v>2022</v>
      </c>
      <c r="J11" s="8">
        <v>3500</v>
      </c>
      <c r="K11" s="7" t="s">
        <v>440</v>
      </c>
    </row>
    <row r="12" spans="2:16" hidden="1" x14ac:dyDescent="0.25">
      <c r="C12" s="7" t="s">
        <v>203</v>
      </c>
      <c r="D12" s="7" t="s">
        <v>132</v>
      </c>
      <c r="F12" s="7" t="s">
        <v>580</v>
      </c>
      <c r="G12" s="13">
        <v>43988</v>
      </c>
      <c r="H12" s="7">
        <f t="shared" si="0"/>
        <v>6</v>
      </c>
      <c r="I12" s="28">
        <f>YEAR(Tableau3[[#This Row],[Date]])</f>
        <v>2020</v>
      </c>
      <c r="J12" s="8">
        <v>3500</v>
      </c>
      <c r="K12" s="7" t="s">
        <v>448</v>
      </c>
    </row>
    <row r="13" spans="2:16" hidden="1" x14ac:dyDescent="0.25">
      <c r="C13" s="7" t="s">
        <v>203</v>
      </c>
      <c r="D13" s="7" t="s">
        <v>132</v>
      </c>
      <c r="F13" s="7" t="s">
        <v>580</v>
      </c>
      <c r="G13" s="13">
        <v>44749</v>
      </c>
      <c r="H13" s="7">
        <f t="shared" si="0"/>
        <v>7</v>
      </c>
      <c r="I13" s="28">
        <f>YEAR(Tableau3[[#This Row],[Date]])</f>
        <v>2022</v>
      </c>
      <c r="J13" s="8">
        <v>3500</v>
      </c>
      <c r="K13" s="7" t="s">
        <v>449</v>
      </c>
    </row>
    <row r="14" spans="2:16" hidden="1" x14ac:dyDescent="0.25">
      <c r="C14" s="7" t="s">
        <v>203</v>
      </c>
      <c r="D14" s="7" t="s">
        <v>132</v>
      </c>
      <c r="F14" s="7" t="s">
        <v>580</v>
      </c>
      <c r="G14" s="13">
        <v>44781</v>
      </c>
      <c r="H14" s="7">
        <f t="shared" si="0"/>
        <v>8</v>
      </c>
      <c r="I14" s="28">
        <f>YEAR(Tableau3[[#This Row],[Date]])</f>
        <v>2022</v>
      </c>
      <c r="J14" s="8">
        <v>3500</v>
      </c>
      <c r="K14" s="7" t="s">
        <v>450</v>
      </c>
    </row>
    <row r="15" spans="2:16" hidden="1" x14ac:dyDescent="0.25">
      <c r="C15" s="7" t="s">
        <v>203</v>
      </c>
      <c r="D15" s="7" t="s">
        <v>132</v>
      </c>
      <c r="F15" s="7" t="s">
        <v>580</v>
      </c>
      <c r="G15" s="13">
        <v>44810</v>
      </c>
      <c r="H15" s="7">
        <f t="shared" si="0"/>
        <v>9</v>
      </c>
      <c r="I15" s="28">
        <f>YEAR(Tableau3[[#This Row],[Date]])</f>
        <v>2022</v>
      </c>
      <c r="J15" s="8">
        <v>3500</v>
      </c>
      <c r="K15" s="7" t="s">
        <v>451</v>
      </c>
    </row>
    <row r="16" spans="2:16" hidden="1" x14ac:dyDescent="0.25">
      <c r="C16" s="7" t="s">
        <v>203</v>
      </c>
      <c r="D16" s="7" t="s">
        <v>132</v>
      </c>
      <c r="F16" s="7" t="s">
        <v>580</v>
      </c>
      <c r="G16" s="13">
        <v>44840</v>
      </c>
      <c r="H16" s="7">
        <f t="shared" si="0"/>
        <v>10</v>
      </c>
      <c r="I16" s="28">
        <f>YEAR(Tableau3[[#This Row],[Date]])</f>
        <v>2022</v>
      </c>
      <c r="J16" s="8">
        <v>3500</v>
      </c>
      <c r="K16" s="7" t="s">
        <v>452</v>
      </c>
    </row>
    <row r="17" spans="3:11" hidden="1" x14ac:dyDescent="0.25">
      <c r="C17" s="7" t="s">
        <v>203</v>
      </c>
      <c r="D17" s="7" t="s">
        <v>132</v>
      </c>
      <c r="F17" s="7" t="s">
        <v>580</v>
      </c>
      <c r="G17" s="13">
        <v>44873</v>
      </c>
      <c r="H17" s="7">
        <f t="shared" si="0"/>
        <v>11</v>
      </c>
      <c r="I17" s="28">
        <f>YEAR(Tableau3[[#This Row],[Date]])</f>
        <v>2022</v>
      </c>
      <c r="J17" s="8">
        <v>3500</v>
      </c>
      <c r="K17" s="7" t="s">
        <v>453</v>
      </c>
    </row>
    <row r="18" spans="3:11" hidden="1" x14ac:dyDescent="0.25">
      <c r="C18" s="7" t="s">
        <v>203</v>
      </c>
      <c r="D18" s="7" t="s">
        <v>132</v>
      </c>
      <c r="F18" s="7" t="s">
        <v>580</v>
      </c>
      <c r="G18" s="13">
        <v>44902</v>
      </c>
      <c r="H18" s="7">
        <f t="shared" si="0"/>
        <v>12</v>
      </c>
      <c r="I18" s="28">
        <f>YEAR(Tableau3[[#This Row],[Date]])</f>
        <v>2022</v>
      </c>
      <c r="J18" s="8">
        <v>3500</v>
      </c>
      <c r="K18" s="7" t="s">
        <v>445</v>
      </c>
    </row>
    <row r="19" spans="3:11" x14ac:dyDescent="0.25">
      <c r="C19" s="7" t="s">
        <v>203</v>
      </c>
      <c r="D19" s="7" t="s">
        <v>132</v>
      </c>
      <c r="F19" s="7" t="s">
        <v>580</v>
      </c>
      <c r="G19" s="13">
        <v>44928</v>
      </c>
      <c r="H19" s="7">
        <f t="shared" si="0"/>
        <v>1</v>
      </c>
      <c r="I19" s="28">
        <f>YEAR(Tableau3[[#This Row],[Date]])</f>
        <v>2023</v>
      </c>
      <c r="J19" s="8">
        <v>3500</v>
      </c>
      <c r="K19" s="7" t="s">
        <v>444</v>
      </c>
    </row>
    <row r="20" spans="3:11" hidden="1" x14ac:dyDescent="0.25">
      <c r="C20" s="7" t="s">
        <v>203</v>
      </c>
      <c r="D20" s="7" t="s">
        <v>132</v>
      </c>
      <c r="F20" s="7" t="s">
        <v>580</v>
      </c>
      <c r="G20" s="13">
        <v>44960</v>
      </c>
      <c r="H20" s="7">
        <f t="shared" si="0"/>
        <v>2</v>
      </c>
      <c r="I20" s="28">
        <f>YEAR(Tableau3[[#This Row],[Date]])</f>
        <v>2023</v>
      </c>
      <c r="J20" s="8">
        <v>3500</v>
      </c>
      <c r="K20" s="7" t="s">
        <v>443</v>
      </c>
    </row>
    <row r="21" spans="3:11" hidden="1" x14ac:dyDescent="0.25">
      <c r="C21" s="7" t="s">
        <v>208</v>
      </c>
      <c r="D21" s="7" t="s">
        <v>127</v>
      </c>
      <c r="E21" s="7" t="s">
        <v>205</v>
      </c>
      <c r="G21" s="13">
        <v>44638</v>
      </c>
      <c r="H21" s="7">
        <f>MONTH(G21)</f>
        <v>3</v>
      </c>
      <c r="I21" s="28">
        <f>YEAR(Tableau3[[#This Row],[Date]])</f>
        <v>2022</v>
      </c>
      <c r="J21" s="8">
        <v>1870</v>
      </c>
      <c r="K21" s="7" t="s">
        <v>215</v>
      </c>
    </row>
    <row r="22" spans="3:11" hidden="1" x14ac:dyDescent="0.25">
      <c r="C22" s="7" t="s">
        <v>208</v>
      </c>
      <c r="D22" s="7" t="s">
        <v>127</v>
      </c>
      <c r="E22" s="7" t="s">
        <v>206</v>
      </c>
      <c r="G22" s="13">
        <v>44682</v>
      </c>
      <c r="H22" s="7">
        <f t="shared" ref="H22:H68" si="1">MONTH(G22)</f>
        <v>5</v>
      </c>
      <c r="I22" s="28">
        <f>YEAR(Tableau3[[#This Row],[Date]])</f>
        <v>2022</v>
      </c>
      <c r="J22" s="8">
        <v>1870</v>
      </c>
      <c r="K22" s="7" t="s">
        <v>216</v>
      </c>
    </row>
    <row r="23" spans="3:11" hidden="1" x14ac:dyDescent="0.25">
      <c r="C23" s="7" t="s">
        <v>208</v>
      </c>
      <c r="D23" s="7" t="s">
        <v>127</v>
      </c>
      <c r="E23" s="7" t="s">
        <v>207</v>
      </c>
      <c r="G23" s="13">
        <v>44710</v>
      </c>
      <c r="H23" s="7">
        <f t="shared" si="1"/>
        <v>5</v>
      </c>
      <c r="I23" s="28">
        <f>YEAR(Tableau3[[#This Row],[Date]])</f>
        <v>2022</v>
      </c>
      <c r="J23" s="8">
        <v>1870</v>
      </c>
      <c r="K23" s="7" t="s">
        <v>217</v>
      </c>
    </row>
    <row r="24" spans="3:11" hidden="1" x14ac:dyDescent="0.25">
      <c r="C24" s="7" t="s">
        <v>208</v>
      </c>
      <c r="D24" s="7" t="s">
        <v>127</v>
      </c>
      <c r="E24" s="7" t="s">
        <v>209</v>
      </c>
      <c r="G24" s="13">
        <v>44745</v>
      </c>
      <c r="H24" s="7">
        <f t="shared" si="1"/>
        <v>7</v>
      </c>
      <c r="I24" s="28">
        <f>YEAR(Tableau3[[#This Row],[Date]])</f>
        <v>2022</v>
      </c>
      <c r="J24" s="8">
        <v>1870</v>
      </c>
      <c r="K24" s="7" t="s">
        <v>218</v>
      </c>
    </row>
    <row r="25" spans="3:11" hidden="1" x14ac:dyDescent="0.25">
      <c r="C25" s="7" t="s">
        <v>208</v>
      </c>
      <c r="D25" s="7" t="s">
        <v>127</v>
      </c>
      <c r="E25" s="7" t="s">
        <v>210</v>
      </c>
      <c r="G25" s="13">
        <v>44780</v>
      </c>
      <c r="H25" s="7">
        <f t="shared" si="1"/>
        <v>8</v>
      </c>
      <c r="I25" s="28">
        <f>YEAR(Tableau3[[#This Row],[Date]])</f>
        <v>2022</v>
      </c>
      <c r="J25" s="8">
        <v>1870</v>
      </c>
      <c r="K25" s="7" t="s">
        <v>219</v>
      </c>
    </row>
    <row r="26" spans="3:11" hidden="1" x14ac:dyDescent="0.25">
      <c r="C26" s="7" t="s">
        <v>208</v>
      </c>
      <c r="D26" s="7" t="s">
        <v>127</v>
      </c>
      <c r="E26" s="7" t="s">
        <v>211</v>
      </c>
      <c r="G26" s="13">
        <v>44803</v>
      </c>
      <c r="H26" s="7">
        <f t="shared" si="1"/>
        <v>8</v>
      </c>
      <c r="I26" s="28">
        <f>YEAR(Tableau3[[#This Row],[Date]])</f>
        <v>2022</v>
      </c>
      <c r="J26" s="8">
        <v>1870</v>
      </c>
      <c r="K26" s="7" t="s">
        <v>220</v>
      </c>
    </row>
    <row r="27" spans="3:11" hidden="1" x14ac:dyDescent="0.25">
      <c r="C27" s="7" t="s">
        <v>208</v>
      </c>
      <c r="D27" s="7" t="s">
        <v>127</v>
      </c>
      <c r="E27" s="7" t="s">
        <v>212</v>
      </c>
      <c r="G27" s="13">
        <v>44822</v>
      </c>
      <c r="H27" s="7">
        <f t="shared" si="1"/>
        <v>9</v>
      </c>
      <c r="I27" s="28">
        <f>YEAR(Tableau3[[#This Row],[Date]])</f>
        <v>2022</v>
      </c>
      <c r="J27" s="8">
        <v>1870</v>
      </c>
      <c r="K27" s="7" t="s">
        <v>214</v>
      </c>
    </row>
    <row r="28" spans="3:11" hidden="1" x14ac:dyDescent="0.25">
      <c r="C28" s="7" t="s">
        <v>208</v>
      </c>
      <c r="D28" s="7" t="s">
        <v>128</v>
      </c>
      <c r="E28" s="7" t="s">
        <v>213</v>
      </c>
      <c r="F28" s="7" t="s">
        <v>581</v>
      </c>
      <c r="G28" s="13">
        <v>44850</v>
      </c>
      <c r="H28" s="7">
        <f t="shared" si="1"/>
        <v>10</v>
      </c>
      <c r="I28" s="28">
        <f>YEAR(Tableau3[[#This Row],[Date]])</f>
        <v>2022</v>
      </c>
      <c r="J28" s="8">
        <v>2000</v>
      </c>
      <c r="K28" s="7" t="s">
        <v>223</v>
      </c>
    </row>
    <row r="29" spans="3:11" hidden="1" x14ac:dyDescent="0.25">
      <c r="C29" s="7" t="s">
        <v>208</v>
      </c>
      <c r="D29" s="7" t="s">
        <v>128</v>
      </c>
      <c r="E29" s="7" t="s">
        <v>221</v>
      </c>
      <c r="F29" s="7" t="s">
        <v>581</v>
      </c>
      <c r="G29" s="13">
        <v>44881</v>
      </c>
      <c r="H29" s="7">
        <f t="shared" si="1"/>
        <v>11</v>
      </c>
      <c r="I29" s="28">
        <f>YEAR(Tableau3[[#This Row],[Date]])</f>
        <v>2022</v>
      </c>
      <c r="J29" s="8">
        <v>2000</v>
      </c>
      <c r="K29" s="7" t="s">
        <v>222</v>
      </c>
    </row>
    <row r="30" spans="3:11" hidden="1" x14ac:dyDescent="0.25">
      <c r="C30" s="7" t="s">
        <v>208</v>
      </c>
      <c r="D30" s="7" t="s">
        <v>127</v>
      </c>
      <c r="E30" s="7" t="s">
        <v>221</v>
      </c>
      <c r="G30" s="13">
        <v>44881</v>
      </c>
      <c r="H30" s="7">
        <f t="shared" si="1"/>
        <v>11</v>
      </c>
      <c r="I30" s="28">
        <f>YEAR(Tableau3[[#This Row],[Date]])</f>
        <v>2022</v>
      </c>
      <c r="J30" s="8">
        <v>50</v>
      </c>
      <c r="K30" s="7" t="s">
        <v>222</v>
      </c>
    </row>
    <row r="31" spans="3:11" hidden="1" x14ac:dyDescent="0.25">
      <c r="C31" s="7" t="s">
        <v>208</v>
      </c>
      <c r="D31" s="7" t="s">
        <v>127</v>
      </c>
      <c r="E31" s="7" t="s">
        <v>224</v>
      </c>
      <c r="G31" s="13">
        <v>44914</v>
      </c>
      <c r="H31" s="7">
        <f t="shared" si="1"/>
        <v>12</v>
      </c>
      <c r="I31" s="28">
        <f>YEAR(Tableau3[[#This Row],[Date]])</f>
        <v>2022</v>
      </c>
      <c r="J31" s="8">
        <v>2050</v>
      </c>
      <c r="K31" s="7" t="s">
        <v>225</v>
      </c>
    </row>
    <row r="32" spans="3:11" x14ac:dyDescent="0.25">
      <c r="C32" s="7" t="s">
        <v>208</v>
      </c>
      <c r="D32" s="7" t="s">
        <v>127</v>
      </c>
      <c r="E32" s="7" t="s">
        <v>226</v>
      </c>
      <c r="G32" s="13">
        <v>44946</v>
      </c>
      <c r="H32" s="7">
        <f t="shared" si="1"/>
        <v>1</v>
      </c>
      <c r="I32" s="28">
        <f>YEAR(Tableau3[[#This Row],[Date]])</f>
        <v>2023</v>
      </c>
      <c r="J32" s="8">
        <v>2050</v>
      </c>
      <c r="K32" s="7" t="s">
        <v>227</v>
      </c>
    </row>
    <row r="33" spans="3:11" hidden="1" x14ac:dyDescent="0.25">
      <c r="C33" s="7" t="s">
        <v>208</v>
      </c>
      <c r="D33" s="7" t="s">
        <v>127</v>
      </c>
      <c r="E33" s="7" t="s">
        <v>228</v>
      </c>
      <c r="G33" s="13">
        <v>44984</v>
      </c>
      <c r="H33" s="7">
        <f t="shared" si="1"/>
        <v>2</v>
      </c>
      <c r="I33" s="28">
        <f>YEAR(Tableau3[[#This Row],[Date]])</f>
        <v>2023</v>
      </c>
      <c r="J33" s="8">
        <v>2050</v>
      </c>
      <c r="K33" s="7" t="s">
        <v>229</v>
      </c>
    </row>
    <row r="34" spans="3:11" hidden="1" x14ac:dyDescent="0.25">
      <c r="C34" s="7" t="s">
        <v>237</v>
      </c>
      <c r="D34" s="7" t="s">
        <v>127</v>
      </c>
      <c r="G34" s="13">
        <v>44803</v>
      </c>
      <c r="H34" s="7">
        <f t="shared" si="1"/>
        <v>8</v>
      </c>
      <c r="I34" s="28">
        <f>YEAR(Tableau3[[#This Row],[Date]])</f>
        <v>2022</v>
      </c>
      <c r="J34" s="8">
        <v>189</v>
      </c>
      <c r="K34" s="7" t="s">
        <v>230</v>
      </c>
    </row>
    <row r="35" spans="3:11" hidden="1" x14ac:dyDescent="0.25">
      <c r="C35" s="7" t="s">
        <v>237</v>
      </c>
      <c r="D35" s="7" t="s">
        <v>127</v>
      </c>
      <c r="G35" s="13">
        <v>44822</v>
      </c>
      <c r="H35" s="7">
        <f t="shared" si="1"/>
        <v>9</v>
      </c>
      <c r="I35" s="28">
        <f>YEAR(Tableau3[[#This Row],[Date]])</f>
        <v>2022</v>
      </c>
      <c r="J35" s="8">
        <v>484</v>
      </c>
      <c r="K35" s="7" t="s">
        <v>231</v>
      </c>
    </row>
    <row r="36" spans="3:11" hidden="1" x14ac:dyDescent="0.25">
      <c r="C36" s="7" t="s">
        <v>237</v>
      </c>
      <c r="D36" s="7" t="s">
        <v>127</v>
      </c>
      <c r="G36" s="13">
        <v>44850</v>
      </c>
      <c r="H36" s="7">
        <f t="shared" si="1"/>
        <v>10</v>
      </c>
      <c r="I36" s="28">
        <f>YEAR(Tableau3[[#This Row],[Date]])</f>
        <v>2022</v>
      </c>
      <c r="J36" s="8">
        <v>452</v>
      </c>
      <c r="K36" s="7" t="s">
        <v>232</v>
      </c>
    </row>
    <row r="37" spans="3:11" hidden="1" x14ac:dyDescent="0.25">
      <c r="C37" s="7" t="s">
        <v>237</v>
      </c>
      <c r="D37" s="7" t="s">
        <v>127</v>
      </c>
      <c r="G37" s="13">
        <v>44881</v>
      </c>
      <c r="H37" s="7">
        <f t="shared" si="1"/>
        <v>11</v>
      </c>
      <c r="I37" s="28">
        <f>YEAR(Tableau3[[#This Row],[Date]])</f>
        <v>2022</v>
      </c>
      <c r="J37" s="8">
        <v>318</v>
      </c>
      <c r="K37" s="7" t="s">
        <v>233</v>
      </c>
    </row>
    <row r="38" spans="3:11" hidden="1" x14ac:dyDescent="0.25">
      <c r="C38" s="7" t="s">
        <v>237</v>
      </c>
      <c r="D38" s="7" t="s">
        <v>127</v>
      </c>
      <c r="G38" s="13">
        <v>44914</v>
      </c>
      <c r="H38" s="7">
        <f t="shared" si="1"/>
        <v>12</v>
      </c>
      <c r="I38" s="28">
        <f>YEAR(Tableau3[[#This Row],[Date]])</f>
        <v>2022</v>
      </c>
      <c r="J38" s="8">
        <v>224</v>
      </c>
      <c r="K38" s="7" t="s">
        <v>234</v>
      </c>
    </row>
    <row r="39" spans="3:11" x14ac:dyDescent="0.25">
      <c r="C39" s="7" t="s">
        <v>237</v>
      </c>
      <c r="D39" s="7" t="s">
        <v>127</v>
      </c>
      <c r="G39" s="13">
        <v>44946</v>
      </c>
      <c r="H39" s="7">
        <f t="shared" si="1"/>
        <v>1</v>
      </c>
      <c r="I39" s="28">
        <f>YEAR(Tableau3[[#This Row],[Date]])</f>
        <v>2023</v>
      </c>
      <c r="J39" s="8">
        <v>253</v>
      </c>
      <c r="K39" s="7" t="s">
        <v>235</v>
      </c>
    </row>
    <row r="40" spans="3:11" hidden="1" x14ac:dyDescent="0.25">
      <c r="C40" s="7" t="s">
        <v>237</v>
      </c>
      <c r="D40" s="7" t="s">
        <v>127</v>
      </c>
      <c r="G40" s="13">
        <v>44984</v>
      </c>
      <c r="H40" s="7">
        <f t="shared" si="1"/>
        <v>2</v>
      </c>
      <c r="I40" s="28">
        <f>YEAR(Tableau3[[#This Row],[Date]])</f>
        <v>2023</v>
      </c>
      <c r="J40" s="8">
        <v>698</v>
      </c>
      <c r="K40" s="7" t="s">
        <v>236</v>
      </c>
    </row>
    <row r="41" spans="3:11" hidden="1" x14ac:dyDescent="0.25">
      <c r="C41" s="7" t="s">
        <v>202</v>
      </c>
      <c r="D41" s="7" t="s">
        <v>127</v>
      </c>
      <c r="G41" s="13">
        <v>44610</v>
      </c>
      <c r="H41" s="7">
        <f t="shared" si="1"/>
        <v>2</v>
      </c>
      <c r="I41" s="28">
        <f>YEAR(Tableau3[[#This Row],[Date]])</f>
        <v>2022</v>
      </c>
      <c r="J41" s="8">
        <v>2830</v>
      </c>
      <c r="K41" s="7" t="s">
        <v>238</v>
      </c>
    </row>
    <row r="42" spans="3:11" hidden="1" x14ac:dyDescent="0.25">
      <c r="C42" s="7" t="s">
        <v>202</v>
      </c>
      <c r="D42" s="7" t="s">
        <v>127</v>
      </c>
      <c r="G42" s="13">
        <v>44826</v>
      </c>
      <c r="H42" s="7">
        <f t="shared" si="1"/>
        <v>9</v>
      </c>
      <c r="I42" s="28">
        <f>YEAR(Tableau3[[#This Row],[Date]])</f>
        <v>2022</v>
      </c>
      <c r="J42" s="8">
        <v>3150</v>
      </c>
      <c r="K42" s="7" t="s">
        <v>239</v>
      </c>
    </row>
    <row r="43" spans="3:11" hidden="1" x14ac:dyDescent="0.25">
      <c r="C43" s="7" t="s">
        <v>208</v>
      </c>
      <c r="D43" s="7" t="s">
        <v>127</v>
      </c>
      <c r="E43" s="7" t="s">
        <v>258</v>
      </c>
      <c r="G43" s="13">
        <v>45008</v>
      </c>
      <c r="H43" s="7">
        <f t="shared" si="1"/>
        <v>3</v>
      </c>
      <c r="I43" s="28">
        <f>YEAR(Tableau3[[#This Row],[Date]])</f>
        <v>2023</v>
      </c>
      <c r="J43" s="8">
        <v>2050</v>
      </c>
      <c r="K43" s="26">
        <v>44927</v>
      </c>
    </row>
    <row r="44" spans="3:11" hidden="1" x14ac:dyDescent="0.25">
      <c r="C44" s="7" t="s">
        <v>237</v>
      </c>
      <c r="D44" s="7" t="s">
        <v>127</v>
      </c>
      <c r="G44" s="13">
        <v>45008</v>
      </c>
      <c r="H44" s="7">
        <f t="shared" si="1"/>
        <v>3</v>
      </c>
      <c r="I44" s="28">
        <f>YEAR(Tableau3[[#This Row],[Date]])</f>
        <v>2023</v>
      </c>
      <c r="J44" s="8">
        <v>3775</v>
      </c>
      <c r="K44" s="7" t="s">
        <v>240</v>
      </c>
    </row>
    <row r="45" spans="3:11" hidden="1" x14ac:dyDescent="0.25">
      <c r="C45" s="7" t="s">
        <v>203</v>
      </c>
      <c r="D45" s="7" t="s">
        <v>132</v>
      </c>
      <c r="F45" s="7" t="s">
        <v>580</v>
      </c>
      <c r="G45" s="13">
        <v>45015</v>
      </c>
      <c r="H45" s="7">
        <f t="shared" si="1"/>
        <v>3</v>
      </c>
      <c r="I45" s="28">
        <f>YEAR(Tableau3[[#This Row],[Date]])</f>
        <v>2023</v>
      </c>
      <c r="J45" s="8">
        <v>3500</v>
      </c>
      <c r="K45" s="7" t="s">
        <v>442</v>
      </c>
    </row>
    <row r="46" spans="3:11" hidden="1" x14ac:dyDescent="0.25">
      <c r="C46" s="7" t="s">
        <v>208</v>
      </c>
      <c r="D46" s="7" t="s">
        <v>127</v>
      </c>
      <c r="E46" s="7" t="s">
        <v>259</v>
      </c>
      <c r="G46" s="13">
        <v>45020</v>
      </c>
      <c r="H46" s="7">
        <f t="shared" si="1"/>
        <v>4</v>
      </c>
      <c r="I46" s="28">
        <f>YEAR(Tableau3[[#This Row],[Date]])</f>
        <v>2023</v>
      </c>
      <c r="J46" s="8">
        <v>2050</v>
      </c>
      <c r="K46" s="7" t="s">
        <v>260</v>
      </c>
    </row>
    <row r="47" spans="3:11" hidden="1" x14ac:dyDescent="0.25">
      <c r="C47" s="7" t="s">
        <v>208</v>
      </c>
      <c r="D47" s="7" t="s">
        <v>127</v>
      </c>
      <c r="E47" s="7" t="s">
        <v>261</v>
      </c>
      <c r="G47" s="13">
        <v>45026</v>
      </c>
      <c r="H47" s="7">
        <f t="shared" si="1"/>
        <v>4</v>
      </c>
      <c r="I47" s="28">
        <f>YEAR(Tableau3[[#This Row],[Date]])</f>
        <v>2023</v>
      </c>
      <c r="J47" s="8">
        <v>2050</v>
      </c>
      <c r="K47" s="7" t="s">
        <v>262</v>
      </c>
    </row>
    <row r="48" spans="3:11" hidden="1" x14ac:dyDescent="0.25">
      <c r="C48" s="7" t="s">
        <v>237</v>
      </c>
      <c r="D48" s="7" t="s">
        <v>127</v>
      </c>
      <c r="G48" s="13">
        <v>45026</v>
      </c>
      <c r="H48" s="7">
        <f t="shared" si="1"/>
        <v>4</v>
      </c>
      <c r="I48" s="28">
        <f>YEAR(Tableau3[[#This Row],[Date]])</f>
        <v>2023</v>
      </c>
      <c r="J48" s="8">
        <v>992</v>
      </c>
      <c r="K48" s="7" t="s">
        <v>263</v>
      </c>
    </row>
    <row r="49" spans="3:11" hidden="1" x14ac:dyDescent="0.25">
      <c r="C49" s="7" t="s">
        <v>203</v>
      </c>
      <c r="D49" s="7" t="s">
        <v>132</v>
      </c>
      <c r="F49" s="7" t="s">
        <v>580</v>
      </c>
      <c r="G49" s="13">
        <v>45028</v>
      </c>
      <c r="H49" s="7">
        <f t="shared" si="1"/>
        <v>4</v>
      </c>
      <c r="I49" s="28">
        <f>YEAR(Tableau3[[#This Row],[Date]])</f>
        <v>2023</v>
      </c>
      <c r="J49" s="8">
        <v>3500</v>
      </c>
      <c r="K49" s="7" t="s">
        <v>441</v>
      </c>
    </row>
    <row r="50" spans="3:11" hidden="1" x14ac:dyDescent="0.25">
      <c r="C50" s="7" t="s">
        <v>208</v>
      </c>
      <c r="D50" s="7" t="s">
        <v>127</v>
      </c>
      <c r="E50" s="7" t="s">
        <v>438</v>
      </c>
      <c r="G50" s="13">
        <v>45059</v>
      </c>
      <c r="H50" s="7">
        <f t="shared" si="1"/>
        <v>5</v>
      </c>
      <c r="I50" s="28">
        <f>YEAR(Tableau3[[#This Row],[Date]])</f>
        <v>2023</v>
      </c>
      <c r="J50" s="8">
        <v>2050</v>
      </c>
      <c r="K50" s="7" t="s">
        <v>270</v>
      </c>
    </row>
    <row r="51" spans="3:11" hidden="1" x14ac:dyDescent="0.25">
      <c r="C51" s="7" t="s">
        <v>237</v>
      </c>
      <c r="D51" s="7" t="s">
        <v>127</v>
      </c>
      <c r="G51" s="13">
        <v>45059</v>
      </c>
      <c r="H51" s="7">
        <f t="shared" si="1"/>
        <v>5</v>
      </c>
      <c r="I51" s="28">
        <f>YEAR(Tableau3[[#This Row],[Date]])</f>
        <v>2023</v>
      </c>
      <c r="J51" s="8">
        <v>720</v>
      </c>
      <c r="K51" s="7" t="s">
        <v>439</v>
      </c>
    </row>
    <row r="52" spans="3:11" hidden="1" x14ac:dyDescent="0.25">
      <c r="C52" s="7" t="s">
        <v>203</v>
      </c>
      <c r="D52" s="7" t="s">
        <v>132</v>
      </c>
      <c r="F52" s="7" t="s">
        <v>580</v>
      </c>
      <c r="G52" s="13">
        <v>45063</v>
      </c>
      <c r="H52" s="7">
        <f t="shared" si="1"/>
        <v>5</v>
      </c>
      <c r="I52" s="28">
        <f>YEAR(Tableau3[[#This Row],[Date]])</f>
        <v>2023</v>
      </c>
      <c r="J52" s="8">
        <v>3500</v>
      </c>
      <c r="K52" s="7" t="s">
        <v>440</v>
      </c>
    </row>
    <row r="53" spans="3:11" hidden="1" x14ac:dyDescent="0.25">
      <c r="C53" s="7" t="s">
        <v>208</v>
      </c>
      <c r="D53" s="7" t="s">
        <v>127</v>
      </c>
      <c r="E53" s="7" t="s">
        <v>454</v>
      </c>
      <c r="G53" s="13">
        <v>45087</v>
      </c>
      <c r="H53" s="7">
        <f t="shared" si="1"/>
        <v>6</v>
      </c>
      <c r="I53" s="28">
        <f>YEAR(Tableau3[[#This Row],[Date]])</f>
        <v>2023</v>
      </c>
      <c r="J53" s="8">
        <v>2050</v>
      </c>
      <c r="K53" s="7" t="s">
        <v>272</v>
      </c>
    </row>
    <row r="54" spans="3:11" hidden="1" x14ac:dyDescent="0.25">
      <c r="C54" s="7" t="s">
        <v>237</v>
      </c>
      <c r="D54" s="7" t="s">
        <v>127</v>
      </c>
      <c r="G54" s="13">
        <v>45087</v>
      </c>
      <c r="H54" s="7">
        <f t="shared" si="1"/>
        <v>6</v>
      </c>
      <c r="I54" s="28">
        <f>YEAR(Tableau3[[#This Row],[Date]])</f>
        <v>2023</v>
      </c>
      <c r="J54" s="8">
        <v>576</v>
      </c>
      <c r="K54" s="7" t="s">
        <v>455</v>
      </c>
    </row>
    <row r="55" spans="3:11" hidden="1" x14ac:dyDescent="0.25">
      <c r="C55" s="7" t="s">
        <v>203</v>
      </c>
      <c r="D55" s="7" t="s">
        <v>132</v>
      </c>
      <c r="F55" s="7" t="s">
        <v>580</v>
      </c>
      <c r="G55" s="13">
        <v>45090</v>
      </c>
      <c r="H55" s="7">
        <f t="shared" si="1"/>
        <v>6</v>
      </c>
      <c r="I55" s="28">
        <f>YEAR(Tableau3[[#This Row],[Date]])</f>
        <v>2023</v>
      </c>
      <c r="J55" s="8">
        <v>3500</v>
      </c>
      <c r="K55" s="7" t="s">
        <v>448</v>
      </c>
    </row>
    <row r="56" spans="3:11" hidden="1" x14ac:dyDescent="0.25">
      <c r="C56" s="7" t="s">
        <v>203</v>
      </c>
      <c r="D56" s="7" t="s">
        <v>132</v>
      </c>
      <c r="F56" s="7" t="s">
        <v>580</v>
      </c>
      <c r="G56" s="13">
        <v>45112</v>
      </c>
      <c r="H56" s="7">
        <f t="shared" si="1"/>
        <v>7</v>
      </c>
      <c r="I56" s="28">
        <f>YEAR(Tableau3[[#This Row],[Date]])</f>
        <v>2023</v>
      </c>
      <c r="J56" s="8">
        <v>3500</v>
      </c>
      <c r="K56" s="7" t="s">
        <v>449</v>
      </c>
    </row>
    <row r="57" spans="3:11" hidden="1" x14ac:dyDescent="0.25">
      <c r="C57" s="7" t="s">
        <v>208</v>
      </c>
      <c r="D57" s="7" t="s">
        <v>127</v>
      </c>
      <c r="E57" s="7" t="s">
        <v>512</v>
      </c>
      <c r="G57" s="13">
        <v>45127</v>
      </c>
      <c r="H57" s="7">
        <f t="shared" si="1"/>
        <v>7</v>
      </c>
      <c r="I57" s="28">
        <f>YEAR(Tableau3[[#This Row],[Date]])</f>
        <v>2023</v>
      </c>
      <c r="J57" s="8">
        <v>2050</v>
      </c>
      <c r="K57" s="7" t="s">
        <v>513</v>
      </c>
    </row>
    <row r="58" spans="3:11" hidden="1" x14ac:dyDescent="0.25">
      <c r="C58" s="7" t="s">
        <v>237</v>
      </c>
      <c r="D58" s="7" t="s">
        <v>127</v>
      </c>
      <c r="G58" s="13">
        <v>45127</v>
      </c>
      <c r="H58" s="7">
        <f t="shared" si="1"/>
        <v>7</v>
      </c>
      <c r="I58" s="28">
        <f>YEAR(Tableau3[[#This Row],[Date]])</f>
        <v>2023</v>
      </c>
      <c r="J58" s="8">
        <v>583</v>
      </c>
      <c r="K58" s="7" t="s">
        <v>514</v>
      </c>
    </row>
    <row r="59" spans="3:11" hidden="1" x14ac:dyDescent="0.25">
      <c r="C59" s="7" t="s">
        <v>203</v>
      </c>
      <c r="D59" s="7" t="s">
        <v>132</v>
      </c>
      <c r="F59" s="7" t="s">
        <v>580</v>
      </c>
      <c r="G59" s="13">
        <v>45142</v>
      </c>
      <c r="H59" s="7">
        <f t="shared" si="1"/>
        <v>8</v>
      </c>
      <c r="I59" s="28">
        <f>YEAR(Tableau3[[#This Row],[Date]])</f>
        <v>2023</v>
      </c>
      <c r="J59" s="8">
        <v>3500</v>
      </c>
      <c r="K59" s="7" t="s">
        <v>530</v>
      </c>
    </row>
    <row r="60" spans="3:11" hidden="1" x14ac:dyDescent="0.25">
      <c r="C60" s="7" t="s">
        <v>208</v>
      </c>
      <c r="D60" s="7" t="s">
        <v>127</v>
      </c>
      <c r="E60" s="7" t="s">
        <v>532</v>
      </c>
      <c r="G60" s="13">
        <v>45150</v>
      </c>
      <c r="H60" s="7">
        <f t="shared" si="1"/>
        <v>8</v>
      </c>
      <c r="I60" s="28">
        <f>YEAR(Tableau3[[#This Row],[Date]])</f>
        <v>2023</v>
      </c>
      <c r="J60" s="8">
        <v>2050</v>
      </c>
      <c r="K60" s="7" t="s">
        <v>214</v>
      </c>
    </row>
    <row r="61" spans="3:11" hidden="1" x14ac:dyDescent="0.25">
      <c r="C61" s="7" t="s">
        <v>237</v>
      </c>
      <c r="D61" s="7" t="s">
        <v>127</v>
      </c>
      <c r="G61" s="13">
        <v>45150</v>
      </c>
      <c r="H61" s="7">
        <f t="shared" si="1"/>
        <v>8</v>
      </c>
      <c r="I61" s="28">
        <f>YEAR(Tableau3[[#This Row],[Date]])</f>
        <v>2023</v>
      </c>
      <c r="J61" s="8">
        <v>623</v>
      </c>
      <c r="K61" s="7" t="s">
        <v>533</v>
      </c>
    </row>
    <row r="62" spans="3:11" hidden="1" x14ac:dyDescent="0.25">
      <c r="C62" s="7" t="s">
        <v>203</v>
      </c>
      <c r="D62" s="7" t="s">
        <v>132</v>
      </c>
      <c r="F62" s="7" t="s">
        <v>580</v>
      </c>
      <c r="G62" s="13">
        <v>45174</v>
      </c>
      <c r="H62" s="7">
        <f t="shared" si="1"/>
        <v>9</v>
      </c>
      <c r="I62" s="28">
        <f>YEAR(Tableau3[[#This Row],[Date]])</f>
        <v>2023</v>
      </c>
      <c r="J62" s="8">
        <v>3500</v>
      </c>
      <c r="K62" s="7" t="s">
        <v>451</v>
      </c>
    </row>
    <row r="63" spans="3:11" hidden="1" x14ac:dyDescent="0.25">
      <c r="C63" s="7" t="s">
        <v>208</v>
      </c>
      <c r="D63" s="7" t="s">
        <v>127</v>
      </c>
      <c r="E63" s="7" t="s">
        <v>544</v>
      </c>
      <c r="G63" s="13">
        <v>45185</v>
      </c>
      <c r="H63" s="7">
        <f t="shared" si="1"/>
        <v>9</v>
      </c>
      <c r="I63" s="28">
        <f>YEAR(Tableau3[[#This Row],[Date]])</f>
        <v>2023</v>
      </c>
      <c r="J63" s="8">
        <v>2050</v>
      </c>
      <c r="K63" s="7" t="s">
        <v>12</v>
      </c>
    </row>
    <row r="64" spans="3:11" hidden="1" x14ac:dyDescent="0.25">
      <c r="C64" s="7" t="s">
        <v>237</v>
      </c>
      <c r="D64" s="7" t="s">
        <v>127</v>
      </c>
      <c r="G64" s="13">
        <v>45185</v>
      </c>
      <c r="H64" s="7">
        <f t="shared" si="1"/>
        <v>9</v>
      </c>
      <c r="I64" s="28">
        <f>YEAR(Tableau3[[#This Row],[Date]])</f>
        <v>2023</v>
      </c>
      <c r="J64" s="8">
        <v>813</v>
      </c>
      <c r="K64" s="7" t="s">
        <v>545</v>
      </c>
    </row>
    <row r="65" spans="3:11" hidden="1" x14ac:dyDescent="0.25">
      <c r="C65" s="7" t="s">
        <v>203</v>
      </c>
      <c r="D65" s="7" t="s">
        <v>132</v>
      </c>
      <c r="F65" s="7" t="s">
        <v>580</v>
      </c>
      <c r="G65" s="13">
        <v>45209</v>
      </c>
      <c r="H65" s="7">
        <f t="shared" si="1"/>
        <v>10</v>
      </c>
      <c r="I65" s="28">
        <f>YEAR(Tableau3[[#This Row],[Date]])</f>
        <v>2023</v>
      </c>
      <c r="J65" s="8">
        <v>3500</v>
      </c>
      <c r="K65" s="7" t="s">
        <v>452</v>
      </c>
    </row>
    <row r="66" spans="3:11" hidden="1" x14ac:dyDescent="0.25">
      <c r="C66" s="7" t="s">
        <v>208</v>
      </c>
      <c r="D66" s="7" t="s">
        <v>127</v>
      </c>
      <c r="E66" s="7" t="s">
        <v>560</v>
      </c>
      <c r="G66" s="13">
        <v>45215</v>
      </c>
      <c r="H66" s="7">
        <f t="shared" si="1"/>
        <v>10</v>
      </c>
      <c r="I66" s="28">
        <f>YEAR(Tableau3[[#This Row],[Date]])</f>
        <v>2023</v>
      </c>
      <c r="J66" s="8">
        <v>2050</v>
      </c>
      <c r="K66" s="7" t="s">
        <v>222</v>
      </c>
    </row>
    <row r="67" spans="3:11" hidden="1" x14ac:dyDescent="0.25">
      <c r="C67" s="7" t="s">
        <v>237</v>
      </c>
      <c r="D67" s="7" t="s">
        <v>127</v>
      </c>
      <c r="G67" s="13">
        <v>45215</v>
      </c>
      <c r="H67" s="7">
        <f t="shared" si="1"/>
        <v>10</v>
      </c>
      <c r="I67" s="28">
        <f>YEAR(Tableau3[[#This Row],[Date]])</f>
        <v>2023</v>
      </c>
      <c r="J67" s="8">
        <v>585</v>
      </c>
      <c r="K67" s="7" t="s">
        <v>12</v>
      </c>
    </row>
    <row r="68" spans="3:11" hidden="1" x14ac:dyDescent="0.25">
      <c r="C68" s="7" t="s">
        <v>203</v>
      </c>
      <c r="D68" s="7" t="s">
        <v>132</v>
      </c>
      <c r="F68" s="7" t="s">
        <v>580</v>
      </c>
      <c r="G68" s="13">
        <v>45241</v>
      </c>
      <c r="H68" s="7">
        <f t="shared" si="1"/>
        <v>11</v>
      </c>
      <c r="I68" s="28">
        <f>YEAR(Tableau3[[#This Row],[Date]])</f>
        <v>2023</v>
      </c>
      <c r="J68" s="8">
        <v>3500</v>
      </c>
      <c r="K68" s="7" t="s">
        <v>453</v>
      </c>
    </row>
    <row r="69" spans="3:11" x14ac:dyDescent="0.25">
      <c r="J69" s="8"/>
    </row>
    <row r="70" spans="3:11" x14ac:dyDescent="0.25">
      <c r="J70" s="8"/>
    </row>
    <row r="71" spans="3:11" x14ac:dyDescent="0.25">
      <c r="J71" s="8"/>
    </row>
    <row r="72" spans="3:11" x14ac:dyDescent="0.25">
      <c r="J72" s="8"/>
    </row>
    <row r="73" spans="3:11" x14ac:dyDescent="0.25">
      <c r="J73" s="8"/>
    </row>
    <row r="74" spans="3:11" x14ac:dyDescent="0.25">
      <c r="J74" s="8"/>
    </row>
    <row r="75" spans="3:11" x14ac:dyDescent="0.25">
      <c r="J75" s="8"/>
    </row>
    <row r="76" spans="3:11" x14ac:dyDescent="0.25">
      <c r="J76" s="8"/>
    </row>
    <row r="77" spans="3:11" x14ac:dyDescent="0.25">
      <c r="J77" s="8"/>
    </row>
    <row r="78" spans="3:11" x14ac:dyDescent="0.25">
      <c r="J78" s="8"/>
    </row>
    <row r="79" spans="3:11" x14ac:dyDescent="0.25">
      <c r="J79" s="8"/>
    </row>
    <row r="80" spans="3:11" x14ac:dyDescent="0.25">
      <c r="J80" s="8"/>
    </row>
    <row r="81" spans="10:10" x14ac:dyDescent="0.25">
      <c r="J81" s="8"/>
    </row>
    <row r="82" spans="10:10" x14ac:dyDescent="0.25">
      <c r="J82" s="8"/>
    </row>
    <row r="83" spans="10:10" x14ac:dyDescent="0.25">
      <c r="J83" s="8"/>
    </row>
    <row r="84" spans="10:10" x14ac:dyDescent="0.25">
      <c r="J84" s="8"/>
    </row>
    <row r="85" spans="10:10" x14ac:dyDescent="0.25">
      <c r="J85" s="8"/>
    </row>
    <row r="86" spans="10:10" x14ac:dyDescent="0.25">
      <c r="J86" s="8"/>
    </row>
    <row r="87" spans="10:10" x14ac:dyDescent="0.25">
      <c r="J87" s="8"/>
    </row>
    <row r="88" spans="10:10" x14ac:dyDescent="0.25">
      <c r="J88" s="8"/>
    </row>
    <row r="89" spans="10:10" x14ac:dyDescent="0.25">
      <c r="J89" s="8"/>
    </row>
    <row r="90" spans="10:10" x14ac:dyDescent="0.25">
      <c r="J90" s="8"/>
    </row>
    <row r="91" spans="10:10" x14ac:dyDescent="0.25">
      <c r="J91" s="8"/>
    </row>
    <row r="92" spans="10:10" x14ac:dyDescent="0.25">
      <c r="J92" s="8"/>
    </row>
    <row r="93" spans="10:10" x14ac:dyDescent="0.25">
      <c r="J93" s="8"/>
    </row>
  </sheetData>
  <pageMargins left="0.7" right="0.7" top="0.75" bottom="0.75" header="0.3" footer="0.3"/>
  <pageSetup paperSize="9" scale="74" orientation="landscape" verticalDpi="300" r:id="rId1"/>
  <colBreaks count="1" manualBreakCount="1">
    <brk id="11" max="1048575" man="1"/>
  </colBreaks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F47F1A7-D2DB-4DFA-B935-07EE562F73AF}">
          <x14:formula1>
            <xm:f>Config!$F$2:$F$3</xm:f>
          </x14:formula1>
          <xm:sqref>M2 M4</xm:sqref>
        </x14:dataValidation>
        <x14:dataValidation type="list" allowBlank="1" showInputMessage="1" showErrorMessage="1" xr:uid="{3A393DE4-3453-4782-B273-ACF37C7008B5}">
          <x14:formula1>
            <xm:f>Config!$C$2:$C$6</xm:f>
          </x14:formula1>
          <xm:sqref>D7:D68</xm:sqref>
        </x14:dataValidation>
        <x14:dataValidation type="list" allowBlank="1" showInputMessage="1" showErrorMessage="1" xr:uid="{655C14E8-D462-41DF-B432-EC68D56A89E9}">
          <x14:formula1>
            <xm:f>Config!$A$2:$A$6</xm:f>
          </x14:formula1>
          <xm:sqref>C7:C68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B634-0104-42F1-BDAF-8D589673CD50}">
  <sheetPr>
    <tabColor theme="9"/>
  </sheetPr>
  <dimension ref="B1:O364"/>
  <sheetViews>
    <sheetView showGridLines="0" zoomScale="95" zoomScaleNormal="95" workbookViewId="0">
      <pane ySplit="6" topLeftCell="A162" activePane="bottomLeft" state="frozenSplit"/>
      <selection activeCell="P116" sqref="P116"/>
      <selection pane="bottomLeft" activeCell="F6" sqref="F6"/>
    </sheetView>
  </sheetViews>
  <sheetFormatPr defaultColWidth="11.42578125" defaultRowHeight="15" x14ac:dyDescent="0.25"/>
  <cols>
    <col min="1" max="1" width="19.7109375" style="7" bestFit="1" customWidth="1"/>
    <col min="2" max="2" width="22.5703125" style="7" bestFit="1" customWidth="1"/>
    <col min="3" max="3" width="33" style="7" bestFit="1" customWidth="1"/>
    <col min="4" max="4" width="28" style="7" customWidth="1"/>
    <col min="5" max="5" width="19.85546875" style="7" bestFit="1" customWidth="1"/>
    <col min="6" max="6" width="12.7109375" style="7" bestFit="1" customWidth="1"/>
    <col min="7" max="7" width="15.28515625" style="7" customWidth="1"/>
    <col min="8" max="8" width="11.42578125" style="7"/>
    <col min="9" max="9" width="10.28515625" style="7" bestFit="1" customWidth="1"/>
    <col min="10" max="10" width="11.42578125" style="7"/>
    <col min="11" max="11" width="12.140625" style="7" bestFit="1" customWidth="1"/>
    <col min="12" max="12" width="11.42578125" style="7"/>
    <col min="13" max="13" width="12.7109375" style="7" bestFit="1" customWidth="1"/>
    <col min="14" max="16384" width="11.42578125" style="7"/>
  </cols>
  <sheetData>
    <row r="1" spans="2:15" x14ac:dyDescent="0.25">
      <c r="N1" s="15" t="s">
        <v>2</v>
      </c>
    </row>
    <row r="2" spans="2:15" x14ac:dyDescent="0.25">
      <c r="M2" s="10" t="s">
        <v>130</v>
      </c>
      <c r="N2" s="14">
        <v>2022</v>
      </c>
      <c r="O2" s="9">
        <f>SUMIFS(Tableau36[[#All],[Montant]],Tableau36[[#All],[Mode Paiement]],"Espèce",Tableau36[[#All],[Année]],N2)</f>
        <v>132287</v>
      </c>
    </row>
    <row r="3" spans="2:15" ht="8.25" customHeight="1" x14ac:dyDescent="0.25"/>
    <row r="4" spans="2:15" x14ac:dyDescent="0.25">
      <c r="M4" s="10" t="s">
        <v>131</v>
      </c>
      <c r="N4" s="14">
        <v>2023</v>
      </c>
      <c r="O4" s="9">
        <f>SUMIFS(Tableau36[[#All],[Montant]],Tableau36[[#All],[Mode Paiement]],"Chèque",Tableau36[[#All],[Année]],N4)</f>
        <v>18856.150000000001</v>
      </c>
    </row>
    <row r="5" spans="2:15" x14ac:dyDescent="0.25">
      <c r="K5" s="47">
        <f>SUBTOTAL(9,K6:K69)</f>
        <v>0</v>
      </c>
      <c r="L5" s="7" t="s">
        <v>128</v>
      </c>
      <c r="O5" s="7">
        <f>SUMIFS(Dépenses!$K$6:$K$336,C6:C336,"Divers")</f>
        <v>23380.5</v>
      </c>
    </row>
    <row r="6" spans="2:15" x14ac:dyDescent="0.25">
      <c r="B6" s="11" t="s">
        <v>149</v>
      </c>
      <c r="C6" s="11" t="s">
        <v>150</v>
      </c>
      <c r="D6" s="11" t="s">
        <v>268</v>
      </c>
      <c r="E6" s="11" t="s">
        <v>168</v>
      </c>
      <c r="F6" s="11" t="s">
        <v>579</v>
      </c>
      <c r="G6" s="11" t="s">
        <v>129</v>
      </c>
      <c r="H6" s="11" t="s">
        <v>123</v>
      </c>
      <c r="I6" s="11" t="s">
        <v>241</v>
      </c>
      <c r="J6" s="11" t="s">
        <v>2</v>
      </c>
      <c r="K6" s="12" t="s">
        <v>124</v>
      </c>
      <c r="O6" s="7">
        <f>SUMIF(C6:C198,"Divers",K6:K198)</f>
        <v>10497</v>
      </c>
    </row>
    <row r="7" spans="2:15" hidden="1" x14ac:dyDescent="0.25">
      <c r="B7" s="7" t="s">
        <v>156</v>
      </c>
      <c r="C7" s="7" t="s">
        <v>275</v>
      </c>
      <c r="D7" s="7" t="s">
        <v>276</v>
      </c>
      <c r="E7" s="7" t="s">
        <v>127</v>
      </c>
      <c r="H7" s="13">
        <v>44564</v>
      </c>
      <c r="I7" s="7">
        <f t="shared" ref="I7:I70" si="0">MONTH(H7)</f>
        <v>1</v>
      </c>
      <c r="J7" s="7">
        <f>YEAR(Tableau36[[#This Row],[Date]])</f>
        <v>2022</v>
      </c>
      <c r="K7" s="8">
        <v>100</v>
      </c>
    </row>
    <row r="8" spans="2:15" hidden="1" x14ac:dyDescent="0.25">
      <c r="B8" s="7" t="s">
        <v>155</v>
      </c>
      <c r="C8" s="7" t="s">
        <v>136</v>
      </c>
      <c r="D8" s="7" t="s">
        <v>281</v>
      </c>
      <c r="E8" s="7" t="s">
        <v>128</v>
      </c>
      <c r="F8" s="7" t="s">
        <v>580</v>
      </c>
      <c r="G8" s="7" t="s">
        <v>277</v>
      </c>
      <c r="H8" s="13">
        <v>44564</v>
      </c>
      <c r="I8" s="7">
        <f t="shared" si="0"/>
        <v>1</v>
      </c>
      <c r="J8" s="7">
        <f>YEAR(Tableau36[[#This Row],[Date]])</f>
        <v>2022</v>
      </c>
      <c r="K8" s="8">
        <v>963.96</v>
      </c>
    </row>
    <row r="9" spans="2:15" hidden="1" x14ac:dyDescent="0.25">
      <c r="B9" s="7" t="s">
        <v>156</v>
      </c>
      <c r="C9" s="7" t="s">
        <v>159</v>
      </c>
      <c r="D9" s="7" t="s">
        <v>278</v>
      </c>
      <c r="E9" s="7" t="s">
        <v>127</v>
      </c>
      <c r="H9" s="13">
        <v>44566</v>
      </c>
      <c r="I9" s="7">
        <f t="shared" si="0"/>
        <v>1</v>
      </c>
      <c r="J9" s="7">
        <f>YEAR(Tableau36[[#This Row],[Date]])</f>
        <v>2022</v>
      </c>
      <c r="K9" s="8">
        <v>150</v>
      </c>
    </row>
    <row r="10" spans="2:15" hidden="1" x14ac:dyDescent="0.25">
      <c r="B10" s="7" t="s">
        <v>156</v>
      </c>
      <c r="C10" s="7" t="s">
        <v>159</v>
      </c>
      <c r="D10" s="7" t="s">
        <v>279</v>
      </c>
      <c r="E10" s="7" t="s">
        <v>127</v>
      </c>
      <c r="H10" s="13">
        <v>44562</v>
      </c>
      <c r="I10" s="7">
        <f t="shared" si="0"/>
        <v>1</v>
      </c>
      <c r="J10" s="7">
        <f>YEAR(Tableau36[[#This Row],[Date]])</f>
        <v>2022</v>
      </c>
      <c r="K10" s="8">
        <v>105</v>
      </c>
    </row>
    <row r="11" spans="2:15" hidden="1" x14ac:dyDescent="0.25">
      <c r="B11" s="7" t="s">
        <v>156</v>
      </c>
      <c r="C11" s="7" t="s">
        <v>157</v>
      </c>
      <c r="D11" s="7" t="s">
        <v>337</v>
      </c>
      <c r="E11" s="7" t="s">
        <v>127</v>
      </c>
      <c r="H11" s="13">
        <v>44567</v>
      </c>
      <c r="I11" s="7">
        <f t="shared" si="0"/>
        <v>1</v>
      </c>
      <c r="J11" s="7">
        <f>YEAR(Tableau36[[#This Row],[Date]])</f>
        <v>2022</v>
      </c>
      <c r="K11" s="8">
        <v>70</v>
      </c>
    </row>
    <row r="12" spans="2:15" hidden="1" x14ac:dyDescent="0.25">
      <c r="B12" s="7" t="s">
        <v>155</v>
      </c>
      <c r="C12" s="7" t="s">
        <v>137</v>
      </c>
      <c r="D12" s="7" t="s">
        <v>280</v>
      </c>
      <c r="E12" s="7" t="s">
        <v>333</v>
      </c>
      <c r="F12" s="7" t="s">
        <v>580</v>
      </c>
      <c r="H12" s="13">
        <v>44571</v>
      </c>
      <c r="I12" s="7">
        <f t="shared" si="0"/>
        <v>1</v>
      </c>
      <c r="J12" s="7">
        <f>YEAR(Tableau36[[#This Row],[Date]])</f>
        <v>2022</v>
      </c>
      <c r="K12" s="8">
        <v>199</v>
      </c>
    </row>
    <row r="13" spans="2:15" hidden="1" x14ac:dyDescent="0.25">
      <c r="B13" s="7" t="s">
        <v>156</v>
      </c>
      <c r="C13" s="7" t="s">
        <v>275</v>
      </c>
      <c r="D13" s="7" t="s">
        <v>282</v>
      </c>
      <c r="E13" s="7" t="s">
        <v>127</v>
      </c>
      <c r="H13" s="13">
        <v>44573</v>
      </c>
      <c r="I13" s="7">
        <f t="shared" si="0"/>
        <v>1</v>
      </c>
      <c r="J13" s="7">
        <v>2022</v>
      </c>
      <c r="K13" s="8">
        <v>50</v>
      </c>
    </row>
    <row r="14" spans="2:15" hidden="1" x14ac:dyDescent="0.25">
      <c r="B14" s="7" t="s">
        <v>156</v>
      </c>
      <c r="C14" s="7" t="s">
        <v>275</v>
      </c>
      <c r="D14" s="7" t="s">
        <v>283</v>
      </c>
      <c r="E14" s="7" t="s">
        <v>127</v>
      </c>
      <c r="H14" s="13">
        <v>44573</v>
      </c>
      <c r="I14" s="7">
        <f t="shared" si="0"/>
        <v>1</v>
      </c>
      <c r="J14" s="7">
        <f>YEAR(Tableau36[[#This Row],[Date]])</f>
        <v>2022</v>
      </c>
      <c r="K14" s="8">
        <v>240</v>
      </c>
    </row>
    <row r="15" spans="2:15" hidden="1" x14ac:dyDescent="0.25">
      <c r="B15" s="7" t="s">
        <v>156</v>
      </c>
      <c r="C15" s="7" t="s">
        <v>157</v>
      </c>
      <c r="D15" s="7" t="s">
        <v>284</v>
      </c>
      <c r="E15" s="7" t="s">
        <v>127</v>
      </c>
      <c r="H15" s="13">
        <v>44581</v>
      </c>
      <c r="I15" s="7">
        <f t="shared" si="0"/>
        <v>1</v>
      </c>
      <c r="J15" s="7">
        <f>YEAR(Tableau36[[#This Row],[Date]])</f>
        <v>2022</v>
      </c>
      <c r="K15" s="8">
        <v>48</v>
      </c>
    </row>
    <row r="16" spans="2:15" hidden="1" x14ac:dyDescent="0.25">
      <c r="B16" s="7" t="s">
        <v>156</v>
      </c>
      <c r="C16" s="7" t="s">
        <v>275</v>
      </c>
      <c r="D16" s="7" t="s">
        <v>285</v>
      </c>
      <c r="E16" s="7" t="s">
        <v>127</v>
      </c>
      <c r="H16" s="13">
        <v>44586</v>
      </c>
      <c r="I16" s="7">
        <f t="shared" si="0"/>
        <v>1</v>
      </c>
      <c r="J16" s="7">
        <f>YEAR(Tableau36[[#This Row],[Date]])</f>
        <v>2022</v>
      </c>
      <c r="K16" s="8">
        <v>500</v>
      </c>
    </row>
    <row r="17" spans="2:11" hidden="1" x14ac:dyDescent="0.25">
      <c r="B17" s="7" t="s">
        <v>269</v>
      </c>
      <c r="C17" s="7" t="s">
        <v>163</v>
      </c>
      <c r="D17" s="7" t="s">
        <v>286</v>
      </c>
      <c r="E17" s="7" t="s">
        <v>128</v>
      </c>
      <c r="F17" s="7" t="s">
        <v>580</v>
      </c>
      <c r="G17" s="7" t="s">
        <v>287</v>
      </c>
      <c r="H17" s="13">
        <v>44591</v>
      </c>
      <c r="I17" s="7">
        <f t="shared" si="0"/>
        <v>1</v>
      </c>
      <c r="J17" s="7">
        <f>YEAR(Tableau36[[#This Row],[Date]])</f>
        <v>2022</v>
      </c>
      <c r="K17" s="8">
        <v>12384</v>
      </c>
    </row>
    <row r="18" spans="2:11" hidden="1" x14ac:dyDescent="0.25">
      <c r="B18" s="7" t="s">
        <v>384</v>
      </c>
      <c r="C18" s="7" t="s">
        <v>329</v>
      </c>
      <c r="D18" s="7" t="s">
        <v>319</v>
      </c>
      <c r="E18" s="7" t="s">
        <v>333</v>
      </c>
      <c r="F18" s="7" t="s">
        <v>580</v>
      </c>
      <c r="H18" s="13">
        <v>44603</v>
      </c>
      <c r="I18" s="7">
        <f t="shared" si="0"/>
        <v>2</v>
      </c>
      <c r="J18" s="7">
        <f>YEAR(Tableau36[[#This Row],[Date]])</f>
        <v>2022</v>
      </c>
      <c r="K18" s="8">
        <v>1885.72</v>
      </c>
    </row>
    <row r="19" spans="2:11" hidden="1" x14ac:dyDescent="0.25">
      <c r="B19" s="7" t="s">
        <v>384</v>
      </c>
      <c r="C19" s="7" t="s">
        <v>152</v>
      </c>
      <c r="D19" s="7" t="s">
        <v>271</v>
      </c>
      <c r="E19" s="7" t="s">
        <v>127</v>
      </c>
      <c r="H19" s="13">
        <v>44591</v>
      </c>
      <c r="I19" s="7">
        <f t="shared" si="0"/>
        <v>1</v>
      </c>
      <c r="J19" s="7">
        <f>YEAR(Tableau36[[#This Row],[Date]])</f>
        <v>2022</v>
      </c>
      <c r="K19" s="8">
        <v>8700</v>
      </c>
    </row>
    <row r="20" spans="2:11" hidden="1" x14ac:dyDescent="0.25">
      <c r="B20" s="7" t="s">
        <v>155</v>
      </c>
      <c r="C20" s="7" t="s">
        <v>136</v>
      </c>
      <c r="D20" s="7" t="s">
        <v>288</v>
      </c>
      <c r="E20" s="7" t="s">
        <v>128</v>
      </c>
      <c r="F20" s="7" t="s">
        <v>580</v>
      </c>
      <c r="G20" s="7" t="s">
        <v>289</v>
      </c>
      <c r="H20" s="13">
        <v>44593</v>
      </c>
      <c r="I20" s="7">
        <f t="shared" si="0"/>
        <v>2</v>
      </c>
      <c r="J20" s="7">
        <f>YEAR(Tableau36[[#This Row],[Date]])</f>
        <v>2022</v>
      </c>
      <c r="K20" s="8">
        <v>729.64</v>
      </c>
    </row>
    <row r="21" spans="2:11" hidden="1" x14ac:dyDescent="0.25">
      <c r="B21" s="7" t="s">
        <v>269</v>
      </c>
      <c r="C21" s="7" t="s">
        <v>275</v>
      </c>
      <c r="D21" s="7" t="s">
        <v>290</v>
      </c>
      <c r="E21" s="7" t="s">
        <v>127</v>
      </c>
      <c r="H21" s="13">
        <v>44595</v>
      </c>
      <c r="I21" s="7">
        <f t="shared" si="0"/>
        <v>2</v>
      </c>
      <c r="J21" s="7">
        <f>YEAR(Tableau36[[#This Row],[Date]])</f>
        <v>2022</v>
      </c>
      <c r="K21" s="8">
        <v>70</v>
      </c>
    </row>
    <row r="22" spans="2:11" hidden="1" x14ac:dyDescent="0.25">
      <c r="B22" s="7" t="s">
        <v>155</v>
      </c>
      <c r="C22" s="7" t="s">
        <v>137</v>
      </c>
      <c r="D22" s="7" t="s">
        <v>291</v>
      </c>
      <c r="E22" s="7" t="s">
        <v>333</v>
      </c>
      <c r="F22" s="7" t="s">
        <v>580</v>
      </c>
      <c r="H22" s="13">
        <v>44599</v>
      </c>
      <c r="I22" s="7">
        <f t="shared" si="0"/>
        <v>2</v>
      </c>
      <c r="J22" s="7">
        <f>YEAR(Tableau36[[#This Row],[Date]])</f>
        <v>2022</v>
      </c>
      <c r="K22" s="8">
        <v>199</v>
      </c>
    </row>
    <row r="23" spans="2:11" hidden="1" x14ac:dyDescent="0.25">
      <c r="B23" s="7" t="s">
        <v>156</v>
      </c>
      <c r="C23" s="7" t="s">
        <v>157</v>
      </c>
      <c r="D23" s="7" t="s">
        <v>292</v>
      </c>
      <c r="E23" s="7" t="s">
        <v>127</v>
      </c>
      <c r="H23" s="13">
        <v>44608</v>
      </c>
      <c r="I23" s="7">
        <f t="shared" si="0"/>
        <v>2</v>
      </c>
      <c r="J23" s="7">
        <f>YEAR(Tableau36[[#This Row],[Date]])</f>
        <v>2022</v>
      </c>
      <c r="K23" s="8">
        <v>45</v>
      </c>
    </row>
    <row r="24" spans="2:11" hidden="1" x14ac:dyDescent="0.25">
      <c r="B24" s="7" t="s">
        <v>160</v>
      </c>
      <c r="C24" s="7" t="s">
        <v>161</v>
      </c>
      <c r="D24" s="7" t="s">
        <v>293</v>
      </c>
      <c r="E24" s="7" t="s">
        <v>127</v>
      </c>
      <c r="H24" s="13">
        <v>44613</v>
      </c>
      <c r="I24" s="7">
        <f t="shared" si="0"/>
        <v>2</v>
      </c>
      <c r="J24" s="7">
        <f>YEAR(Tableau36[[#This Row],[Date]])</f>
        <v>2022</v>
      </c>
      <c r="K24" s="8">
        <v>50</v>
      </c>
    </row>
    <row r="25" spans="2:11" hidden="1" x14ac:dyDescent="0.25">
      <c r="B25" s="7" t="s">
        <v>156</v>
      </c>
      <c r="C25" s="7" t="s">
        <v>275</v>
      </c>
      <c r="D25" s="7" t="s">
        <v>294</v>
      </c>
      <c r="E25" s="7" t="s">
        <v>127</v>
      </c>
      <c r="H25" s="13">
        <v>44615</v>
      </c>
      <c r="I25" s="7">
        <f t="shared" si="0"/>
        <v>2</v>
      </c>
      <c r="J25" s="7">
        <f>YEAR(Tableau36[[#This Row],[Date]])</f>
        <v>2022</v>
      </c>
      <c r="K25" s="8">
        <v>500</v>
      </c>
    </row>
    <row r="26" spans="2:11" hidden="1" x14ac:dyDescent="0.25">
      <c r="B26" s="7" t="s">
        <v>384</v>
      </c>
      <c r="C26" s="7" t="s">
        <v>329</v>
      </c>
      <c r="D26" s="7" t="s">
        <v>317</v>
      </c>
      <c r="E26" s="7" t="s">
        <v>333</v>
      </c>
      <c r="F26" s="7" t="s">
        <v>580</v>
      </c>
      <c r="H26" s="13">
        <v>44631</v>
      </c>
      <c r="I26" s="7">
        <f t="shared" si="0"/>
        <v>3</v>
      </c>
      <c r="J26" s="7">
        <f>YEAR(Tableau36[[#This Row],[Date]])</f>
        <v>2022</v>
      </c>
      <c r="K26" s="8">
        <v>2514.3000000000002</v>
      </c>
    </row>
    <row r="27" spans="2:11" hidden="1" x14ac:dyDescent="0.25">
      <c r="B27" s="7" t="s">
        <v>384</v>
      </c>
      <c r="C27" s="7" t="s">
        <v>152</v>
      </c>
      <c r="D27" s="7" t="s">
        <v>295</v>
      </c>
      <c r="E27" s="7" t="s">
        <v>127</v>
      </c>
      <c r="H27" s="13">
        <v>44620</v>
      </c>
      <c r="I27" s="7">
        <f t="shared" si="0"/>
        <v>2</v>
      </c>
      <c r="J27" s="7">
        <f>YEAR(Tableau36[[#This Row],[Date]])</f>
        <v>2022</v>
      </c>
      <c r="K27" s="8">
        <v>8700</v>
      </c>
    </row>
    <row r="28" spans="2:11" hidden="1" x14ac:dyDescent="0.25">
      <c r="B28" s="7" t="s">
        <v>384</v>
      </c>
      <c r="C28" s="7" t="s">
        <v>152</v>
      </c>
      <c r="D28" s="7" t="s">
        <v>296</v>
      </c>
      <c r="E28" s="7" t="s">
        <v>127</v>
      </c>
      <c r="H28" s="13">
        <v>44614</v>
      </c>
      <c r="I28" s="7">
        <f t="shared" si="0"/>
        <v>2</v>
      </c>
      <c r="J28" s="7">
        <f>YEAR(Tableau36[[#This Row],[Date]])</f>
        <v>2022</v>
      </c>
      <c r="K28" s="8">
        <v>920</v>
      </c>
    </row>
    <row r="29" spans="2:11" hidden="1" x14ac:dyDescent="0.25">
      <c r="B29" s="7" t="s">
        <v>156</v>
      </c>
      <c r="C29" s="7" t="s">
        <v>157</v>
      </c>
      <c r="E29" s="7" t="s">
        <v>127</v>
      </c>
      <c r="H29" s="13">
        <v>44622</v>
      </c>
      <c r="I29" s="7">
        <f t="shared" si="0"/>
        <v>3</v>
      </c>
      <c r="J29" s="7">
        <f>YEAR(Tableau36[[#This Row],[Date]])</f>
        <v>2022</v>
      </c>
      <c r="K29" s="8">
        <v>72</v>
      </c>
    </row>
    <row r="30" spans="2:11" hidden="1" x14ac:dyDescent="0.25">
      <c r="B30" s="7" t="s">
        <v>155</v>
      </c>
      <c r="C30" s="7" t="s">
        <v>136</v>
      </c>
      <c r="D30" s="7" t="s">
        <v>297</v>
      </c>
      <c r="E30" s="7" t="s">
        <v>128</v>
      </c>
      <c r="F30" s="7" t="s">
        <v>580</v>
      </c>
      <c r="G30" s="7" t="s">
        <v>298</v>
      </c>
      <c r="H30" s="13">
        <v>44623</v>
      </c>
      <c r="I30" s="7">
        <f t="shared" si="0"/>
        <v>3</v>
      </c>
      <c r="J30" s="7">
        <f>YEAR(Tableau36[[#This Row],[Date]])</f>
        <v>2022</v>
      </c>
      <c r="K30" s="8">
        <v>831.18</v>
      </c>
    </row>
    <row r="31" spans="2:11" hidden="1" x14ac:dyDescent="0.25">
      <c r="B31" s="7" t="s">
        <v>156</v>
      </c>
      <c r="C31" s="7" t="s">
        <v>159</v>
      </c>
      <c r="D31" s="7" t="s">
        <v>299</v>
      </c>
      <c r="E31" s="7" t="s">
        <v>127</v>
      </c>
      <c r="H31" s="13">
        <v>44630</v>
      </c>
      <c r="I31" s="7">
        <f t="shared" si="0"/>
        <v>3</v>
      </c>
      <c r="J31" s="7">
        <f>YEAR(Tableau36[[#This Row],[Date]])</f>
        <v>2022</v>
      </c>
      <c r="K31" s="8">
        <v>60</v>
      </c>
    </row>
    <row r="32" spans="2:11" hidden="1" x14ac:dyDescent="0.25">
      <c r="B32" s="7" t="s">
        <v>155</v>
      </c>
      <c r="C32" s="7" t="s">
        <v>137</v>
      </c>
      <c r="D32" s="7" t="s">
        <v>300</v>
      </c>
      <c r="E32" s="7" t="s">
        <v>333</v>
      </c>
      <c r="F32" s="7" t="s">
        <v>580</v>
      </c>
      <c r="H32" s="13">
        <v>44634</v>
      </c>
      <c r="I32" s="7">
        <f t="shared" si="0"/>
        <v>3</v>
      </c>
      <c r="J32" s="7">
        <f>YEAR(Tableau36[[#This Row],[Date]])</f>
        <v>2022</v>
      </c>
      <c r="K32" s="8">
        <v>199</v>
      </c>
    </row>
    <row r="33" spans="2:11" hidden="1" x14ac:dyDescent="0.25">
      <c r="B33" s="7" t="s">
        <v>269</v>
      </c>
      <c r="C33" s="7" t="s">
        <v>163</v>
      </c>
      <c r="D33" s="7" t="s">
        <v>301</v>
      </c>
      <c r="E33" s="7" t="s">
        <v>128</v>
      </c>
      <c r="F33" s="7" t="s">
        <v>580</v>
      </c>
      <c r="G33" s="7" t="s">
        <v>302</v>
      </c>
      <c r="H33" s="13">
        <v>44637</v>
      </c>
      <c r="I33" s="7">
        <f t="shared" si="0"/>
        <v>3</v>
      </c>
      <c r="J33" s="7">
        <f>YEAR(Tableau36[[#This Row],[Date]])</f>
        <v>2022</v>
      </c>
      <c r="K33" s="8">
        <v>20420</v>
      </c>
    </row>
    <row r="34" spans="2:11" hidden="1" x14ac:dyDescent="0.25">
      <c r="B34" s="7" t="s">
        <v>156</v>
      </c>
      <c r="C34" s="7" t="s">
        <v>157</v>
      </c>
      <c r="E34" s="7" t="s">
        <v>127</v>
      </c>
      <c r="H34" s="13">
        <v>44637</v>
      </c>
      <c r="I34" s="7">
        <f t="shared" si="0"/>
        <v>3</v>
      </c>
      <c r="J34" s="7">
        <f>YEAR(Tableau36[[#This Row],[Date]])</f>
        <v>2022</v>
      </c>
      <c r="K34" s="8">
        <v>190</v>
      </c>
    </row>
    <row r="35" spans="2:11" hidden="1" x14ac:dyDescent="0.25">
      <c r="B35" s="7" t="s">
        <v>156</v>
      </c>
      <c r="C35" s="7" t="s">
        <v>275</v>
      </c>
      <c r="D35" s="7" t="s">
        <v>303</v>
      </c>
      <c r="E35" s="7" t="s">
        <v>127</v>
      </c>
      <c r="H35" s="13">
        <v>44650</v>
      </c>
      <c r="I35" s="7">
        <f t="shared" si="0"/>
        <v>3</v>
      </c>
      <c r="J35" s="7">
        <f>YEAR(Tableau36[[#This Row],[Date]])</f>
        <v>2022</v>
      </c>
      <c r="K35" s="8">
        <v>70</v>
      </c>
    </row>
    <row r="36" spans="2:11" hidden="1" x14ac:dyDescent="0.25">
      <c r="B36" s="7" t="s">
        <v>156</v>
      </c>
      <c r="C36" s="7" t="s">
        <v>275</v>
      </c>
      <c r="D36" s="7" t="s">
        <v>304</v>
      </c>
      <c r="E36" s="7" t="s">
        <v>127</v>
      </c>
      <c r="H36" s="13">
        <v>44650</v>
      </c>
      <c r="I36" s="7">
        <f t="shared" si="0"/>
        <v>3</v>
      </c>
      <c r="J36" s="7">
        <f>YEAR(Tableau36[[#This Row],[Date]])</f>
        <v>2022</v>
      </c>
      <c r="K36" s="8">
        <v>300</v>
      </c>
    </row>
    <row r="37" spans="2:11" hidden="1" x14ac:dyDescent="0.25">
      <c r="B37" s="7" t="s">
        <v>160</v>
      </c>
      <c r="C37" s="7" t="s">
        <v>161</v>
      </c>
      <c r="D37" s="7" t="s">
        <v>305</v>
      </c>
      <c r="E37" s="7" t="s">
        <v>127</v>
      </c>
      <c r="H37" s="13">
        <v>44650</v>
      </c>
      <c r="I37" s="7">
        <f t="shared" si="0"/>
        <v>3</v>
      </c>
      <c r="J37" s="7">
        <f>YEAR(Tableau36[[#This Row],[Date]])</f>
        <v>2022</v>
      </c>
      <c r="K37" s="8">
        <v>44</v>
      </c>
    </row>
    <row r="38" spans="2:11" hidden="1" x14ac:dyDescent="0.25">
      <c r="B38" s="7" t="s">
        <v>384</v>
      </c>
      <c r="C38" s="7" t="s">
        <v>152</v>
      </c>
      <c r="D38" s="7" t="s">
        <v>262</v>
      </c>
      <c r="E38" s="7" t="s">
        <v>127</v>
      </c>
      <c r="H38" s="13">
        <v>44650</v>
      </c>
      <c r="I38" s="7">
        <f t="shared" si="0"/>
        <v>3</v>
      </c>
      <c r="J38" s="7">
        <f>YEAR(Tableau36[[#This Row],[Date]])</f>
        <v>2022</v>
      </c>
      <c r="K38" s="8">
        <v>8700</v>
      </c>
    </row>
    <row r="39" spans="2:11" hidden="1" x14ac:dyDescent="0.25">
      <c r="B39" s="7" t="s">
        <v>384</v>
      </c>
      <c r="C39" s="7" t="s">
        <v>329</v>
      </c>
      <c r="D39" s="7" t="s">
        <v>318</v>
      </c>
      <c r="E39" s="7" t="s">
        <v>333</v>
      </c>
      <c r="F39" s="7" t="s">
        <v>580</v>
      </c>
      <c r="H39" s="13">
        <v>44662</v>
      </c>
      <c r="I39" s="7">
        <f t="shared" si="0"/>
        <v>4</v>
      </c>
      <c r="J39" s="7">
        <f>YEAR(Tableau36[[#This Row],[Date]])</f>
        <v>2022</v>
      </c>
      <c r="K39" s="8">
        <v>2514.3000000000002</v>
      </c>
    </row>
    <row r="40" spans="2:11" hidden="1" x14ac:dyDescent="0.25">
      <c r="B40" s="7" t="s">
        <v>155</v>
      </c>
      <c r="C40" s="7" t="s">
        <v>136</v>
      </c>
      <c r="D40" s="7" t="s">
        <v>306</v>
      </c>
      <c r="E40" s="7" t="s">
        <v>128</v>
      </c>
      <c r="F40" s="7" t="s">
        <v>580</v>
      </c>
      <c r="G40" s="7" t="s">
        <v>307</v>
      </c>
      <c r="H40" s="13">
        <v>44652</v>
      </c>
      <c r="I40" s="7">
        <f t="shared" si="0"/>
        <v>4</v>
      </c>
      <c r="J40" s="7">
        <f>YEAR(Tableau36[[#This Row],[Date]])</f>
        <v>2022</v>
      </c>
      <c r="K40" s="8">
        <v>865.07</v>
      </c>
    </row>
    <row r="41" spans="2:11" hidden="1" x14ac:dyDescent="0.25">
      <c r="B41" s="7" t="s">
        <v>156</v>
      </c>
      <c r="C41" s="7" t="s">
        <v>275</v>
      </c>
      <c r="D41" s="7" t="s">
        <v>308</v>
      </c>
      <c r="E41" s="7" t="s">
        <v>127</v>
      </c>
      <c r="H41" s="13">
        <v>44655</v>
      </c>
      <c r="I41" s="7">
        <f t="shared" si="0"/>
        <v>4</v>
      </c>
      <c r="J41" s="7">
        <f>YEAR(Tableau36[[#This Row],[Date]])</f>
        <v>2022</v>
      </c>
      <c r="K41" s="8">
        <v>160</v>
      </c>
    </row>
    <row r="42" spans="2:11" hidden="1" x14ac:dyDescent="0.25">
      <c r="B42" s="7" t="s">
        <v>155</v>
      </c>
      <c r="C42" s="7" t="s">
        <v>137</v>
      </c>
      <c r="D42" s="7" t="s">
        <v>322</v>
      </c>
      <c r="E42" s="7" t="s">
        <v>333</v>
      </c>
      <c r="F42" s="7" t="s">
        <v>580</v>
      </c>
      <c r="H42" s="13">
        <v>44656</v>
      </c>
      <c r="I42" s="7">
        <f t="shared" si="0"/>
        <v>4</v>
      </c>
      <c r="J42" s="7">
        <f>YEAR(Tableau36[[#This Row],[Date]])</f>
        <v>2022</v>
      </c>
      <c r="K42" s="8">
        <v>199</v>
      </c>
    </row>
    <row r="43" spans="2:11" hidden="1" x14ac:dyDescent="0.25">
      <c r="B43" s="7" t="s">
        <v>156</v>
      </c>
      <c r="C43" s="7" t="s">
        <v>157</v>
      </c>
      <c r="D43" s="7" t="s">
        <v>309</v>
      </c>
      <c r="E43" s="7" t="s">
        <v>127</v>
      </c>
      <c r="H43" s="13">
        <v>44663</v>
      </c>
      <c r="I43" s="7">
        <f t="shared" si="0"/>
        <v>4</v>
      </c>
      <c r="J43" s="7">
        <f>YEAR(Tableau36[[#This Row],[Date]])</f>
        <v>2022</v>
      </c>
      <c r="K43" s="8">
        <v>25</v>
      </c>
    </row>
    <row r="44" spans="2:11" hidden="1" x14ac:dyDescent="0.25">
      <c r="B44" s="7" t="s">
        <v>156</v>
      </c>
      <c r="C44" s="7" t="s">
        <v>159</v>
      </c>
      <c r="D44" s="7" t="s">
        <v>310</v>
      </c>
      <c r="E44" s="7" t="s">
        <v>127</v>
      </c>
      <c r="H44" s="13">
        <v>44663</v>
      </c>
      <c r="I44" s="7">
        <f t="shared" si="0"/>
        <v>4</v>
      </c>
      <c r="J44" s="7">
        <f>YEAR(Tableau36[[#This Row],[Date]])</f>
        <v>2022</v>
      </c>
      <c r="K44" s="8">
        <v>168</v>
      </c>
    </row>
    <row r="45" spans="2:11" hidden="1" x14ac:dyDescent="0.25">
      <c r="B45" s="7" t="s">
        <v>160</v>
      </c>
      <c r="C45" s="7" t="s">
        <v>368</v>
      </c>
      <c r="D45" s="7" t="s">
        <v>311</v>
      </c>
      <c r="E45" s="7" t="s">
        <v>127</v>
      </c>
      <c r="H45" s="13">
        <v>44664</v>
      </c>
      <c r="I45" s="7">
        <f t="shared" si="0"/>
        <v>4</v>
      </c>
      <c r="J45" s="7">
        <f>YEAR(Tableau36[[#This Row],[Date]])</f>
        <v>2022</v>
      </c>
      <c r="K45" s="8">
        <v>50</v>
      </c>
    </row>
    <row r="46" spans="2:11" hidden="1" x14ac:dyDescent="0.25">
      <c r="B46" s="7" t="s">
        <v>156</v>
      </c>
      <c r="C46" s="7" t="s">
        <v>158</v>
      </c>
      <c r="D46" s="7" t="s">
        <v>312</v>
      </c>
      <c r="E46" s="7" t="s">
        <v>127</v>
      </c>
      <c r="H46" s="13">
        <v>44667</v>
      </c>
      <c r="I46" s="7">
        <f t="shared" si="0"/>
        <v>4</v>
      </c>
      <c r="J46" s="7">
        <f>YEAR(Tableau36[[#This Row],[Date]])</f>
        <v>2022</v>
      </c>
      <c r="K46" s="8">
        <v>400</v>
      </c>
    </row>
    <row r="47" spans="2:11" hidden="1" x14ac:dyDescent="0.25">
      <c r="B47" s="7" t="s">
        <v>160</v>
      </c>
      <c r="C47" s="7" t="s">
        <v>313</v>
      </c>
      <c r="D47" s="7" t="s">
        <v>314</v>
      </c>
      <c r="E47" s="7" t="s">
        <v>127</v>
      </c>
      <c r="H47" s="13">
        <v>44667</v>
      </c>
      <c r="I47" s="7">
        <f t="shared" si="0"/>
        <v>4</v>
      </c>
      <c r="J47" s="7">
        <f>YEAR(Tableau36[[#This Row],[Date]])</f>
        <v>2022</v>
      </c>
      <c r="K47" s="8">
        <v>1000</v>
      </c>
    </row>
    <row r="48" spans="2:11" hidden="1" x14ac:dyDescent="0.25">
      <c r="B48" s="7" t="s">
        <v>160</v>
      </c>
      <c r="C48" s="7" t="s">
        <v>161</v>
      </c>
      <c r="D48" s="7" t="s">
        <v>293</v>
      </c>
      <c r="E48" s="7" t="s">
        <v>127</v>
      </c>
      <c r="H48" s="13">
        <v>44669</v>
      </c>
      <c r="I48" s="7">
        <f t="shared" si="0"/>
        <v>4</v>
      </c>
      <c r="J48" s="7">
        <f>YEAR(Tableau36[[#This Row],[Date]])</f>
        <v>2022</v>
      </c>
      <c r="K48" s="8">
        <v>40</v>
      </c>
    </row>
    <row r="49" spans="2:11" hidden="1" x14ac:dyDescent="0.25">
      <c r="B49" s="7" t="s">
        <v>156</v>
      </c>
      <c r="C49" s="7" t="s">
        <v>157</v>
      </c>
      <c r="D49" s="7" t="s">
        <v>315</v>
      </c>
      <c r="E49" s="7" t="s">
        <v>127</v>
      </c>
      <c r="H49" s="13">
        <v>44672</v>
      </c>
      <c r="I49" s="7">
        <f t="shared" si="0"/>
        <v>4</v>
      </c>
      <c r="J49" s="7">
        <f>YEAR(Tableau36[[#This Row],[Date]])</f>
        <v>2022</v>
      </c>
      <c r="K49" s="8">
        <v>40</v>
      </c>
    </row>
    <row r="50" spans="2:11" hidden="1" x14ac:dyDescent="0.25">
      <c r="B50" s="7" t="s">
        <v>156</v>
      </c>
      <c r="C50" s="7" t="s">
        <v>158</v>
      </c>
      <c r="D50" s="7" t="s">
        <v>316</v>
      </c>
      <c r="E50" s="7" t="s">
        <v>127</v>
      </c>
      <c r="H50" s="13">
        <v>44672</v>
      </c>
      <c r="I50" s="7">
        <f t="shared" si="0"/>
        <v>4</v>
      </c>
      <c r="J50" s="7">
        <f>YEAR(Tableau36[[#This Row],[Date]])</f>
        <v>2022</v>
      </c>
      <c r="K50" s="8">
        <v>1000</v>
      </c>
    </row>
    <row r="51" spans="2:11" hidden="1" x14ac:dyDescent="0.25">
      <c r="B51" s="7" t="s">
        <v>156</v>
      </c>
      <c r="C51" s="7" t="s">
        <v>157</v>
      </c>
      <c r="D51" s="7" t="s">
        <v>337</v>
      </c>
      <c r="E51" s="7" t="s">
        <v>127</v>
      </c>
      <c r="H51" s="13">
        <v>44662</v>
      </c>
      <c r="I51" s="7">
        <f t="shared" si="0"/>
        <v>4</v>
      </c>
      <c r="J51" s="7">
        <f>YEAR(Tableau36[[#This Row],[Date]])</f>
        <v>2022</v>
      </c>
      <c r="K51" s="8">
        <v>71</v>
      </c>
    </row>
    <row r="52" spans="2:11" hidden="1" x14ac:dyDescent="0.25">
      <c r="B52" s="7" t="s">
        <v>384</v>
      </c>
      <c r="C52" s="7" t="s">
        <v>152</v>
      </c>
      <c r="D52" s="7" t="s">
        <v>270</v>
      </c>
      <c r="E52" s="7" t="s">
        <v>127</v>
      </c>
      <c r="H52" s="13">
        <v>44681</v>
      </c>
      <c r="I52" s="7">
        <f t="shared" si="0"/>
        <v>4</v>
      </c>
      <c r="J52" s="7">
        <f>YEAR(Tableau36[[#This Row],[Date]])</f>
        <v>2022</v>
      </c>
      <c r="K52" s="8">
        <v>8700</v>
      </c>
    </row>
    <row r="53" spans="2:11" hidden="1" x14ac:dyDescent="0.25">
      <c r="B53" s="7" t="s">
        <v>384</v>
      </c>
      <c r="C53" s="7" t="s">
        <v>154</v>
      </c>
      <c r="E53" s="7" t="s">
        <v>127</v>
      </c>
      <c r="H53" s="13">
        <v>44681</v>
      </c>
      <c r="I53" s="7">
        <f t="shared" si="0"/>
        <v>4</v>
      </c>
      <c r="J53" s="7">
        <f>YEAR(Tableau36[[#This Row],[Date]])</f>
        <v>2022</v>
      </c>
      <c r="K53" s="8">
        <v>1200</v>
      </c>
    </row>
    <row r="54" spans="2:11" hidden="1" x14ac:dyDescent="0.25">
      <c r="B54" s="7" t="s">
        <v>384</v>
      </c>
      <c r="C54" s="7" t="s">
        <v>329</v>
      </c>
      <c r="D54" s="7" t="s">
        <v>270</v>
      </c>
      <c r="E54" s="7" t="s">
        <v>333</v>
      </c>
      <c r="F54" s="7" t="s">
        <v>580</v>
      </c>
      <c r="H54" s="13">
        <v>44692</v>
      </c>
      <c r="I54" s="7">
        <f t="shared" si="0"/>
        <v>5</v>
      </c>
      <c r="J54" s="7">
        <f>YEAR(Tableau36[[#This Row],[Date]])</f>
        <v>2022</v>
      </c>
      <c r="K54" s="8">
        <v>2514.3000000000002</v>
      </c>
    </row>
    <row r="55" spans="2:11" hidden="1" x14ac:dyDescent="0.25">
      <c r="B55" s="7" t="s">
        <v>155</v>
      </c>
      <c r="C55" s="7" t="s">
        <v>136</v>
      </c>
      <c r="D55" s="7" t="s">
        <v>320</v>
      </c>
      <c r="E55" s="7" t="s">
        <v>128</v>
      </c>
      <c r="F55" s="7" t="s">
        <v>580</v>
      </c>
      <c r="G55" s="7" t="s">
        <v>321</v>
      </c>
      <c r="H55" s="13">
        <v>44686</v>
      </c>
      <c r="I55" s="7">
        <f t="shared" si="0"/>
        <v>5</v>
      </c>
      <c r="J55" s="7">
        <f>YEAR(Tableau36[[#This Row],[Date]])</f>
        <v>2022</v>
      </c>
      <c r="K55" s="8">
        <v>748.71</v>
      </c>
    </row>
    <row r="56" spans="2:11" hidden="1" x14ac:dyDescent="0.25">
      <c r="B56" s="7" t="s">
        <v>155</v>
      </c>
      <c r="C56" s="7" t="s">
        <v>137</v>
      </c>
      <c r="D56" s="7" t="s">
        <v>323</v>
      </c>
      <c r="E56" s="7" t="s">
        <v>333</v>
      </c>
      <c r="F56" s="7" t="s">
        <v>580</v>
      </c>
      <c r="H56" s="13">
        <v>44688</v>
      </c>
      <c r="I56" s="7">
        <f t="shared" si="0"/>
        <v>5</v>
      </c>
      <c r="J56" s="7">
        <f>YEAR(Tableau36[[#This Row],[Date]])</f>
        <v>2022</v>
      </c>
      <c r="K56" s="8">
        <v>199</v>
      </c>
    </row>
    <row r="57" spans="2:11" hidden="1" x14ac:dyDescent="0.25">
      <c r="B57" s="7" t="s">
        <v>160</v>
      </c>
      <c r="C57" s="7" t="s">
        <v>161</v>
      </c>
      <c r="D57" s="7" t="s">
        <v>293</v>
      </c>
      <c r="E57" s="7" t="s">
        <v>127</v>
      </c>
      <c r="H57" s="13">
        <v>44691</v>
      </c>
      <c r="I57" s="7">
        <f t="shared" si="0"/>
        <v>5</v>
      </c>
      <c r="J57" s="7">
        <f>YEAR(Tableau36[[#This Row],[Date]])</f>
        <v>2022</v>
      </c>
      <c r="K57" s="8">
        <v>60</v>
      </c>
    </row>
    <row r="58" spans="2:11" hidden="1" x14ac:dyDescent="0.25">
      <c r="B58" s="7" t="s">
        <v>156</v>
      </c>
      <c r="C58" s="7" t="s">
        <v>275</v>
      </c>
      <c r="D58" s="7" t="s">
        <v>324</v>
      </c>
      <c r="E58" s="7" t="s">
        <v>127</v>
      </c>
      <c r="H58" s="13">
        <v>44695</v>
      </c>
      <c r="I58" s="7">
        <f t="shared" si="0"/>
        <v>5</v>
      </c>
      <c r="J58" s="7">
        <f>YEAR(Tableau36[[#This Row],[Date]])</f>
        <v>2022</v>
      </c>
      <c r="K58" s="8">
        <v>450</v>
      </c>
    </row>
    <row r="59" spans="2:11" hidden="1" x14ac:dyDescent="0.25">
      <c r="B59" s="7" t="s">
        <v>156</v>
      </c>
      <c r="C59" s="7" t="s">
        <v>275</v>
      </c>
      <c r="D59" s="7" t="s">
        <v>325</v>
      </c>
      <c r="E59" s="7" t="s">
        <v>127</v>
      </c>
      <c r="H59" s="13">
        <v>44695</v>
      </c>
      <c r="I59" s="7">
        <f t="shared" si="0"/>
        <v>5</v>
      </c>
      <c r="J59" s="7">
        <f>YEAR(Tableau36[[#This Row],[Date]])</f>
        <v>2022</v>
      </c>
      <c r="K59" s="8">
        <v>200</v>
      </c>
    </row>
    <row r="60" spans="2:11" hidden="1" x14ac:dyDescent="0.25">
      <c r="B60" s="7" t="s">
        <v>156</v>
      </c>
      <c r="C60" s="7" t="s">
        <v>159</v>
      </c>
      <c r="D60" s="7" t="s">
        <v>326</v>
      </c>
      <c r="E60" s="7" t="s">
        <v>127</v>
      </c>
      <c r="H60" s="13">
        <v>44708</v>
      </c>
      <c r="I60" s="7">
        <f t="shared" si="0"/>
        <v>5</v>
      </c>
      <c r="J60" s="7">
        <f>YEAR(Tableau36[[#This Row],[Date]])</f>
        <v>2022</v>
      </c>
      <c r="K60" s="8">
        <v>216</v>
      </c>
    </row>
    <row r="61" spans="2:11" hidden="1" x14ac:dyDescent="0.25">
      <c r="B61" s="7" t="s">
        <v>156</v>
      </c>
      <c r="C61" s="7" t="s">
        <v>275</v>
      </c>
      <c r="D61" s="7" t="s">
        <v>276</v>
      </c>
      <c r="E61" s="7" t="s">
        <v>127</v>
      </c>
      <c r="H61" s="13">
        <v>44708</v>
      </c>
      <c r="I61" s="7">
        <f t="shared" si="0"/>
        <v>5</v>
      </c>
      <c r="J61" s="7">
        <f>YEAR(Tableau36[[#This Row],[Date]])</f>
        <v>2022</v>
      </c>
      <c r="K61" s="8">
        <v>150</v>
      </c>
    </row>
    <row r="62" spans="2:11" hidden="1" x14ac:dyDescent="0.25">
      <c r="B62" s="7" t="s">
        <v>160</v>
      </c>
      <c r="C62" s="7" t="s">
        <v>161</v>
      </c>
      <c r="D62" s="7" t="s">
        <v>293</v>
      </c>
      <c r="E62" s="7" t="s">
        <v>127</v>
      </c>
      <c r="H62" s="13">
        <v>44711</v>
      </c>
      <c r="I62" s="7">
        <f t="shared" si="0"/>
        <v>5</v>
      </c>
      <c r="J62" s="7">
        <f>YEAR(Tableau36[[#This Row],[Date]])</f>
        <v>2022</v>
      </c>
      <c r="K62" s="8">
        <v>75</v>
      </c>
    </row>
    <row r="63" spans="2:11" hidden="1" x14ac:dyDescent="0.25">
      <c r="B63" s="7" t="s">
        <v>156</v>
      </c>
      <c r="C63" s="7" t="s">
        <v>275</v>
      </c>
      <c r="D63" s="7" t="s">
        <v>327</v>
      </c>
      <c r="E63" s="7" t="s">
        <v>127</v>
      </c>
      <c r="H63" s="13">
        <v>44711</v>
      </c>
      <c r="I63" s="7">
        <f t="shared" si="0"/>
        <v>5</v>
      </c>
      <c r="J63" s="7">
        <f>YEAR(Tableau36[[#This Row],[Date]])</f>
        <v>2022</v>
      </c>
      <c r="K63" s="8">
        <v>25</v>
      </c>
    </row>
    <row r="64" spans="2:11" hidden="1" x14ac:dyDescent="0.25">
      <c r="B64" s="7" t="s">
        <v>156</v>
      </c>
      <c r="C64" s="7" t="s">
        <v>158</v>
      </c>
      <c r="D64" s="7" t="s">
        <v>328</v>
      </c>
      <c r="E64" s="7" t="s">
        <v>127</v>
      </c>
      <c r="H64" s="13">
        <v>44712</v>
      </c>
      <c r="I64" s="7">
        <f t="shared" si="0"/>
        <v>5</v>
      </c>
      <c r="J64" s="7">
        <f>YEAR(Tableau36[[#This Row],[Date]])</f>
        <v>2022</v>
      </c>
      <c r="K64" s="8">
        <v>850</v>
      </c>
    </row>
    <row r="65" spans="2:11" hidden="1" x14ac:dyDescent="0.25">
      <c r="B65" s="7" t="s">
        <v>156</v>
      </c>
      <c r="C65" s="7" t="s">
        <v>157</v>
      </c>
      <c r="D65" s="7" t="s">
        <v>337</v>
      </c>
      <c r="E65" s="7" t="s">
        <v>127</v>
      </c>
      <c r="H65" s="13">
        <v>44712</v>
      </c>
      <c r="I65" s="7">
        <f t="shared" si="0"/>
        <v>5</v>
      </c>
      <c r="J65" s="7">
        <f>YEAR(Tableau36[[#This Row],[Date]])</f>
        <v>2022</v>
      </c>
      <c r="K65" s="8">
        <v>95</v>
      </c>
    </row>
    <row r="66" spans="2:11" hidden="1" x14ac:dyDescent="0.25">
      <c r="B66" s="7" t="s">
        <v>384</v>
      </c>
      <c r="C66" s="7" t="s">
        <v>152</v>
      </c>
      <c r="D66" s="7" t="s">
        <v>272</v>
      </c>
      <c r="E66" s="7" t="s">
        <v>127</v>
      </c>
      <c r="H66" s="13">
        <v>44712</v>
      </c>
      <c r="I66" s="7">
        <f t="shared" si="0"/>
        <v>5</v>
      </c>
      <c r="J66" s="7">
        <f>YEAR(Tableau36[[#This Row],[Date]])</f>
        <v>2022</v>
      </c>
      <c r="K66" s="8">
        <v>8700</v>
      </c>
    </row>
    <row r="67" spans="2:11" hidden="1" x14ac:dyDescent="0.25">
      <c r="B67" s="7" t="s">
        <v>384</v>
      </c>
      <c r="C67" s="7" t="s">
        <v>329</v>
      </c>
      <c r="D67" s="7" t="s">
        <v>272</v>
      </c>
      <c r="E67" s="7" t="s">
        <v>333</v>
      </c>
      <c r="F67" s="7" t="s">
        <v>580</v>
      </c>
      <c r="H67" s="13">
        <v>44723</v>
      </c>
      <c r="I67" s="7">
        <f t="shared" si="0"/>
        <v>6</v>
      </c>
      <c r="J67" s="7">
        <f>YEAR(Tableau36[[#This Row],[Date]])</f>
        <v>2022</v>
      </c>
      <c r="K67" s="8">
        <v>2514.3000000000002</v>
      </c>
    </row>
    <row r="68" spans="2:11" hidden="1" x14ac:dyDescent="0.25">
      <c r="B68" s="7" t="s">
        <v>156</v>
      </c>
      <c r="C68" s="7" t="s">
        <v>275</v>
      </c>
      <c r="D68" s="7" t="s">
        <v>330</v>
      </c>
      <c r="E68" s="7" t="s">
        <v>127</v>
      </c>
      <c r="H68" s="13">
        <v>44562</v>
      </c>
      <c r="I68" s="7">
        <f t="shared" si="0"/>
        <v>1</v>
      </c>
      <c r="J68" s="7">
        <f>YEAR(Tableau36[[#This Row],[Date]])</f>
        <v>2022</v>
      </c>
      <c r="K68" s="8">
        <v>8.5</v>
      </c>
    </row>
    <row r="69" spans="2:11" hidden="1" x14ac:dyDescent="0.25">
      <c r="B69" s="7" t="s">
        <v>156</v>
      </c>
      <c r="C69" s="7" t="s">
        <v>275</v>
      </c>
      <c r="D69" s="7" t="s">
        <v>331</v>
      </c>
      <c r="E69" s="7" t="s">
        <v>127</v>
      </c>
      <c r="H69" s="13">
        <v>44562</v>
      </c>
      <c r="I69" s="7">
        <f t="shared" si="0"/>
        <v>1</v>
      </c>
      <c r="J69" s="7">
        <f>YEAR(Tableau36[[#This Row],[Date]])</f>
        <v>2022</v>
      </c>
      <c r="K69" s="8">
        <v>3.5</v>
      </c>
    </row>
    <row r="70" spans="2:11" hidden="1" x14ac:dyDescent="0.25">
      <c r="B70" s="7" t="s">
        <v>155</v>
      </c>
      <c r="C70" s="7" t="s">
        <v>137</v>
      </c>
      <c r="D70" s="7" t="s">
        <v>332</v>
      </c>
      <c r="E70" s="7" t="s">
        <v>333</v>
      </c>
      <c r="F70" s="7" t="s">
        <v>580</v>
      </c>
      <c r="H70" s="13">
        <v>44718</v>
      </c>
      <c r="I70" s="7">
        <f t="shared" si="0"/>
        <v>6</v>
      </c>
      <c r="J70" s="7">
        <f>YEAR(Tableau36[[#This Row],[Date]])</f>
        <v>2022</v>
      </c>
      <c r="K70" s="8">
        <v>199</v>
      </c>
    </row>
    <row r="71" spans="2:11" hidden="1" x14ac:dyDescent="0.25">
      <c r="B71" s="7" t="s">
        <v>156</v>
      </c>
      <c r="C71" s="7" t="s">
        <v>159</v>
      </c>
      <c r="D71" s="7" t="s">
        <v>334</v>
      </c>
      <c r="E71" s="7" t="s">
        <v>127</v>
      </c>
      <c r="H71" s="13">
        <v>44718</v>
      </c>
      <c r="I71" s="7">
        <f t="shared" ref="I71:I134" si="1">MONTH(H71)</f>
        <v>6</v>
      </c>
      <c r="J71" s="7">
        <f>YEAR(Tableau36[[#This Row],[Date]])</f>
        <v>2022</v>
      </c>
      <c r="K71" s="8">
        <v>100</v>
      </c>
    </row>
    <row r="72" spans="2:11" hidden="1" x14ac:dyDescent="0.25">
      <c r="B72" s="7" t="s">
        <v>160</v>
      </c>
      <c r="C72" s="7" t="s">
        <v>161</v>
      </c>
      <c r="D72" s="7" t="s">
        <v>293</v>
      </c>
      <c r="E72" s="7" t="s">
        <v>127</v>
      </c>
      <c r="H72" s="13">
        <v>44719</v>
      </c>
      <c r="I72" s="7">
        <f t="shared" si="1"/>
        <v>6</v>
      </c>
      <c r="J72" s="7">
        <f>YEAR(Tableau36[[#This Row],[Date]])</f>
        <v>2022</v>
      </c>
      <c r="K72" s="8">
        <v>90</v>
      </c>
    </row>
    <row r="73" spans="2:11" hidden="1" x14ac:dyDescent="0.25">
      <c r="B73" s="7" t="s">
        <v>155</v>
      </c>
      <c r="C73" s="7" t="s">
        <v>136</v>
      </c>
      <c r="D73" s="7" t="s">
        <v>335</v>
      </c>
      <c r="E73" s="7" t="s">
        <v>128</v>
      </c>
      <c r="F73" s="7" t="s">
        <v>580</v>
      </c>
      <c r="G73" s="7" t="s">
        <v>336</v>
      </c>
      <c r="H73" s="13">
        <v>44719</v>
      </c>
      <c r="I73" s="7">
        <f t="shared" si="1"/>
        <v>6</v>
      </c>
      <c r="J73" s="7">
        <f>YEAR(Tableau36[[#This Row],[Date]])</f>
        <v>2022</v>
      </c>
      <c r="K73" s="8">
        <v>1146.6500000000001</v>
      </c>
    </row>
    <row r="74" spans="2:11" hidden="1" x14ac:dyDescent="0.25">
      <c r="B74" s="7" t="s">
        <v>156</v>
      </c>
      <c r="C74" s="7" t="s">
        <v>157</v>
      </c>
      <c r="D74" s="7" t="s">
        <v>337</v>
      </c>
      <c r="E74" s="7" t="s">
        <v>127</v>
      </c>
      <c r="H74" s="13">
        <v>44720</v>
      </c>
      <c r="I74" s="7">
        <f t="shared" si="1"/>
        <v>6</v>
      </c>
      <c r="J74" s="7">
        <f>YEAR(Tableau36[[#This Row],[Date]])</f>
        <v>2022</v>
      </c>
      <c r="K74" s="8">
        <v>95</v>
      </c>
    </row>
    <row r="75" spans="2:11" hidden="1" x14ac:dyDescent="0.25">
      <c r="B75" s="7" t="s">
        <v>156</v>
      </c>
      <c r="C75" s="7" t="s">
        <v>158</v>
      </c>
      <c r="D75" s="7" t="s">
        <v>338</v>
      </c>
      <c r="E75" s="7" t="s">
        <v>127</v>
      </c>
      <c r="H75" s="13">
        <v>44725</v>
      </c>
      <c r="I75" s="7">
        <f t="shared" si="1"/>
        <v>6</v>
      </c>
      <c r="J75" s="7">
        <f>YEAR(Tableau36[[#This Row],[Date]])</f>
        <v>2022</v>
      </c>
      <c r="K75" s="8">
        <v>380</v>
      </c>
    </row>
    <row r="76" spans="2:11" hidden="1" x14ac:dyDescent="0.25">
      <c r="B76" s="7" t="s">
        <v>156</v>
      </c>
      <c r="C76" s="7" t="s">
        <v>275</v>
      </c>
      <c r="D76" s="7" t="s">
        <v>339</v>
      </c>
      <c r="E76" s="7" t="s">
        <v>127</v>
      </c>
      <c r="H76" s="13">
        <v>44728</v>
      </c>
      <c r="I76" s="7">
        <f t="shared" si="1"/>
        <v>6</v>
      </c>
      <c r="J76" s="7">
        <f>YEAR(Tableau36[[#This Row],[Date]])</f>
        <v>2022</v>
      </c>
      <c r="K76" s="8">
        <v>100</v>
      </c>
    </row>
    <row r="77" spans="2:11" hidden="1" x14ac:dyDescent="0.25">
      <c r="B77" s="7" t="s">
        <v>384</v>
      </c>
      <c r="C77" s="7" t="s">
        <v>152</v>
      </c>
      <c r="D77" s="7" t="s">
        <v>340</v>
      </c>
      <c r="E77" s="7" t="s">
        <v>127</v>
      </c>
      <c r="H77" s="13">
        <v>44728</v>
      </c>
      <c r="I77" s="7">
        <f t="shared" si="1"/>
        <v>6</v>
      </c>
      <c r="J77" s="7">
        <f>YEAR(Tableau36[[#This Row],[Date]])</f>
        <v>2022</v>
      </c>
      <c r="K77" s="8">
        <v>4350</v>
      </c>
    </row>
    <row r="78" spans="2:11" hidden="1" x14ac:dyDescent="0.25">
      <c r="B78" s="7" t="s">
        <v>156</v>
      </c>
      <c r="C78" s="7" t="s">
        <v>275</v>
      </c>
      <c r="D78" s="7" t="s">
        <v>341</v>
      </c>
      <c r="E78" s="7" t="s">
        <v>127</v>
      </c>
      <c r="H78" s="13">
        <v>44733</v>
      </c>
      <c r="I78" s="7">
        <f t="shared" si="1"/>
        <v>6</v>
      </c>
      <c r="J78" s="7">
        <f>YEAR(Tableau36[[#This Row],[Date]])</f>
        <v>2022</v>
      </c>
      <c r="K78" s="8">
        <v>80</v>
      </c>
    </row>
    <row r="79" spans="2:11" hidden="1" x14ac:dyDescent="0.25">
      <c r="B79" s="7" t="s">
        <v>156</v>
      </c>
      <c r="C79" s="7" t="s">
        <v>157</v>
      </c>
      <c r="D79" s="7" t="s">
        <v>337</v>
      </c>
      <c r="E79" s="7" t="s">
        <v>127</v>
      </c>
      <c r="H79" s="13">
        <v>44735</v>
      </c>
      <c r="I79" s="7">
        <f t="shared" si="1"/>
        <v>6</v>
      </c>
      <c r="J79" s="7">
        <f>YEAR(Tableau36[[#This Row],[Date]])</f>
        <v>2022</v>
      </c>
      <c r="K79" s="8">
        <v>95</v>
      </c>
    </row>
    <row r="80" spans="2:11" hidden="1" x14ac:dyDescent="0.25">
      <c r="B80" s="7" t="s">
        <v>156</v>
      </c>
      <c r="C80" s="7" t="s">
        <v>275</v>
      </c>
      <c r="D80" s="7" t="s">
        <v>341</v>
      </c>
      <c r="E80" s="7" t="s">
        <v>127</v>
      </c>
      <c r="H80" s="13">
        <v>44736</v>
      </c>
      <c r="I80" s="7">
        <f t="shared" si="1"/>
        <v>6</v>
      </c>
      <c r="J80" s="7">
        <f>YEAR(Tableau36[[#This Row],[Date]])</f>
        <v>2022</v>
      </c>
      <c r="K80" s="8">
        <v>27</v>
      </c>
    </row>
    <row r="81" spans="2:11" hidden="1" x14ac:dyDescent="0.25">
      <c r="B81" s="7" t="s">
        <v>156</v>
      </c>
      <c r="C81" s="7" t="s">
        <v>275</v>
      </c>
      <c r="D81" s="7" t="s">
        <v>342</v>
      </c>
      <c r="E81" s="7" t="s">
        <v>127</v>
      </c>
      <c r="H81" s="13">
        <v>44738</v>
      </c>
      <c r="I81" s="7">
        <f t="shared" si="1"/>
        <v>6</v>
      </c>
      <c r="J81" s="7">
        <f>YEAR(Tableau36[[#This Row],[Date]])</f>
        <v>2022</v>
      </c>
      <c r="K81" s="8">
        <v>13</v>
      </c>
    </row>
    <row r="82" spans="2:11" hidden="1" x14ac:dyDescent="0.25">
      <c r="B82" s="7" t="s">
        <v>160</v>
      </c>
      <c r="C82" s="7" t="s">
        <v>161</v>
      </c>
      <c r="D82" s="7" t="s">
        <v>293</v>
      </c>
      <c r="E82" s="7" t="s">
        <v>127</v>
      </c>
      <c r="H82" s="13">
        <v>44741</v>
      </c>
      <c r="I82" s="7">
        <f t="shared" si="1"/>
        <v>6</v>
      </c>
      <c r="J82" s="7">
        <f>YEAR(Tableau36[[#This Row],[Date]])</f>
        <v>2022</v>
      </c>
      <c r="K82" s="8">
        <v>98</v>
      </c>
    </row>
    <row r="83" spans="2:11" hidden="1" x14ac:dyDescent="0.25">
      <c r="B83" s="7" t="s">
        <v>160</v>
      </c>
      <c r="C83" s="7" t="s">
        <v>161</v>
      </c>
      <c r="D83" s="7" t="s">
        <v>343</v>
      </c>
      <c r="E83" s="7" t="s">
        <v>127</v>
      </c>
      <c r="H83" s="13">
        <v>44741</v>
      </c>
      <c r="I83" s="7">
        <f t="shared" si="1"/>
        <v>6</v>
      </c>
      <c r="J83" s="7">
        <f>YEAR(Tableau36[[#This Row],[Date]])</f>
        <v>2022</v>
      </c>
      <c r="K83" s="8">
        <v>145</v>
      </c>
    </row>
    <row r="84" spans="2:11" hidden="1" x14ac:dyDescent="0.25">
      <c r="B84" s="7" t="s">
        <v>384</v>
      </c>
      <c r="C84" s="7" t="s">
        <v>152</v>
      </c>
      <c r="D84" s="7" t="s">
        <v>347</v>
      </c>
      <c r="E84" s="7" t="s">
        <v>127</v>
      </c>
      <c r="H84" s="13">
        <v>44742</v>
      </c>
      <c r="I84" s="7">
        <f t="shared" si="1"/>
        <v>6</v>
      </c>
      <c r="J84" s="7">
        <f>YEAR(Tableau36[[#This Row],[Date]])</f>
        <v>2022</v>
      </c>
      <c r="K84" s="8">
        <v>4350</v>
      </c>
    </row>
    <row r="85" spans="2:11" hidden="1" x14ac:dyDescent="0.25">
      <c r="B85" s="7" t="s">
        <v>384</v>
      </c>
      <c r="C85" s="7" t="s">
        <v>153</v>
      </c>
      <c r="E85" s="7" t="s">
        <v>127</v>
      </c>
      <c r="H85" s="13">
        <v>44742</v>
      </c>
      <c r="I85" s="7">
        <f t="shared" si="1"/>
        <v>6</v>
      </c>
      <c r="J85" s="7">
        <f>YEAR(Tableau36[[#This Row],[Date]])</f>
        <v>2022</v>
      </c>
      <c r="K85" s="8">
        <v>3500</v>
      </c>
    </row>
    <row r="86" spans="2:11" hidden="1" x14ac:dyDescent="0.25">
      <c r="B86" s="7" t="s">
        <v>156</v>
      </c>
      <c r="C86" s="7" t="s">
        <v>275</v>
      </c>
      <c r="D86" s="7" t="s">
        <v>344</v>
      </c>
      <c r="E86" s="7" t="s">
        <v>127</v>
      </c>
      <c r="H86" s="13">
        <v>44742</v>
      </c>
      <c r="I86" s="7">
        <f t="shared" si="1"/>
        <v>6</v>
      </c>
      <c r="J86" s="7">
        <f>YEAR(Tableau36[[#This Row],[Date]])</f>
        <v>2022</v>
      </c>
      <c r="K86" s="8">
        <v>100</v>
      </c>
    </row>
    <row r="87" spans="2:11" hidden="1" x14ac:dyDescent="0.25">
      <c r="B87" s="7" t="s">
        <v>384</v>
      </c>
      <c r="C87" s="7" t="s">
        <v>329</v>
      </c>
      <c r="D87" s="7" t="s">
        <v>273</v>
      </c>
      <c r="E87" s="7" t="s">
        <v>333</v>
      </c>
      <c r="F87" s="7" t="s">
        <v>580</v>
      </c>
      <c r="H87" s="13">
        <v>44753</v>
      </c>
      <c r="I87" s="7">
        <f t="shared" si="1"/>
        <v>7</v>
      </c>
      <c r="J87" s="7">
        <f>YEAR(Tableau36[[#This Row],[Date]])</f>
        <v>2022</v>
      </c>
      <c r="K87" s="8">
        <v>2514.3000000000002</v>
      </c>
    </row>
    <row r="88" spans="2:11" hidden="1" x14ac:dyDescent="0.25">
      <c r="B88" s="7" t="s">
        <v>156</v>
      </c>
      <c r="C88" s="7" t="s">
        <v>275</v>
      </c>
      <c r="D88" s="7" t="s">
        <v>345</v>
      </c>
      <c r="E88" s="7" t="s">
        <v>127</v>
      </c>
      <c r="H88" s="13">
        <v>44743</v>
      </c>
      <c r="I88" s="7">
        <f t="shared" si="1"/>
        <v>7</v>
      </c>
      <c r="J88" s="7">
        <f>YEAR(Tableau36[[#This Row],[Date]])</f>
        <v>2022</v>
      </c>
      <c r="K88" s="8">
        <v>160</v>
      </c>
    </row>
    <row r="89" spans="2:11" hidden="1" x14ac:dyDescent="0.25">
      <c r="B89" s="7" t="s">
        <v>156</v>
      </c>
      <c r="C89" s="7" t="s">
        <v>275</v>
      </c>
      <c r="D89" s="7" t="s">
        <v>346</v>
      </c>
      <c r="E89" s="7" t="s">
        <v>127</v>
      </c>
      <c r="H89" s="13">
        <v>44745</v>
      </c>
      <c r="I89" s="7">
        <f t="shared" si="1"/>
        <v>7</v>
      </c>
      <c r="J89" s="7">
        <f>YEAR(Tableau36[[#This Row],[Date]])</f>
        <v>2022</v>
      </c>
      <c r="K89" s="8">
        <v>200</v>
      </c>
    </row>
    <row r="90" spans="2:11" hidden="1" x14ac:dyDescent="0.25">
      <c r="B90" s="7" t="s">
        <v>156</v>
      </c>
      <c r="C90" s="7" t="s">
        <v>275</v>
      </c>
      <c r="D90" s="7" t="s">
        <v>276</v>
      </c>
      <c r="E90" s="7" t="s">
        <v>127</v>
      </c>
      <c r="H90" s="13">
        <v>44746</v>
      </c>
      <c r="I90" s="7">
        <f t="shared" si="1"/>
        <v>7</v>
      </c>
      <c r="J90" s="7">
        <f>YEAR(Tableau36[[#This Row],[Date]])</f>
        <v>2022</v>
      </c>
      <c r="K90" s="8">
        <v>100</v>
      </c>
    </row>
    <row r="91" spans="2:11" hidden="1" x14ac:dyDescent="0.25">
      <c r="B91" s="7" t="s">
        <v>155</v>
      </c>
      <c r="C91" s="7" t="s">
        <v>136</v>
      </c>
      <c r="D91" s="7" t="s">
        <v>348</v>
      </c>
      <c r="E91" s="7" t="s">
        <v>128</v>
      </c>
      <c r="F91" s="7" t="s">
        <v>580</v>
      </c>
      <c r="G91" s="7" t="s">
        <v>349</v>
      </c>
      <c r="H91" s="13">
        <v>44747</v>
      </c>
      <c r="I91" s="7">
        <f t="shared" si="1"/>
        <v>7</v>
      </c>
      <c r="J91" s="7">
        <f>YEAR(Tableau36[[#This Row],[Date]])</f>
        <v>2022</v>
      </c>
      <c r="K91" s="8">
        <v>1536.38</v>
      </c>
    </row>
    <row r="92" spans="2:11" hidden="1" x14ac:dyDescent="0.25">
      <c r="B92" s="7" t="s">
        <v>156</v>
      </c>
      <c r="C92" s="7" t="s">
        <v>275</v>
      </c>
      <c r="D92" s="7" t="s">
        <v>350</v>
      </c>
      <c r="E92" s="7" t="s">
        <v>127</v>
      </c>
      <c r="H92" s="13">
        <v>44748</v>
      </c>
      <c r="I92" s="7">
        <f t="shared" si="1"/>
        <v>7</v>
      </c>
      <c r="J92" s="7">
        <f>YEAR(Tableau36[[#This Row],[Date]])</f>
        <v>2022</v>
      </c>
      <c r="K92" s="8">
        <v>30</v>
      </c>
    </row>
    <row r="93" spans="2:11" hidden="1" x14ac:dyDescent="0.25">
      <c r="B93" s="7" t="s">
        <v>384</v>
      </c>
      <c r="C93" s="7" t="s">
        <v>152</v>
      </c>
      <c r="D93" s="7" t="s">
        <v>351</v>
      </c>
      <c r="E93" s="7" t="s">
        <v>127</v>
      </c>
      <c r="H93" s="13">
        <v>44748</v>
      </c>
      <c r="I93" s="7">
        <f t="shared" si="1"/>
        <v>7</v>
      </c>
      <c r="J93" s="7">
        <f>YEAR(Tableau36[[#This Row],[Date]])</f>
        <v>2022</v>
      </c>
      <c r="K93" s="8">
        <v>110</v>
      </c>
    </row>
    <row r="94" spans="2:11" hidden="1" x14ac:dyDescent="0.25">
      <c r="B94" s="7" t="s">
        <v>156</v>
      </c>
      <c r="C94" s="7" t="s">
        <v>275</v>
      </c>
      <c r="D94" s="7" t="s">
        <v>352</v>
      </c>
      <c r="E94" s="7" t="s">
        <v>127</v>
      </c>
      <c r="H94" s="13">
        <v>44749</v>
      </c>
      <c r="I94" s="7">
        <f t="shared" si="1"/>
        <v>7</v>
      </c>
      <c r="J94" s="7">
        <f>YEAR(Tableau36[[#This Row],[Date]])</f>
        <v>2022</v>
      </c>
      <c r="K94" s="8">
        <v>40</v>
      </c>
    </row>
    <row r="95" spans="2:11" hidden="1" x14ac:dyDescent="0.25">
      <c r="B95" s="7" t="s">
        <v>156</v>
      </c>
      <c r="C95" s="7" t="s">
        <v>157</v>
      </c>
      <c r="D95" s="7" t="s">
        <v>337</v>
      </c>
      <c r="E95" s="7" t="s">
        <v>127</v>
      </c>
      <c r="H95" s="13">
        <v>44751</v>
      </c>
      <c r="I95" s="7">
        <f t="shared" si="1"/>
        <v>7</v>
      </c>
      <c r="J95" s="7">
        <f>YEAR(Tableau36[[#This Row],[Date]])</f>
        <v>2022</v>
      </c>
      <c r="K95" s="8">
        <v>71</v>
      </c>
    </row>
    <row r="96" spans="2:11" hidden="1" x14ac:dyDescent="0.25">
      <c r="B96" s="7" t="s">
        <v>156</v>
      </c>
      <c r="C96" s="7" t="s">
        <v>275</v>
      </c>
      <c r="D96" s="7" t="s">
        <v>353</v>
      </c>
      <c r="E96" s="7" t="s">
        <v>127</v>
      </c>
      <c r="H96" s="13">
        <v>44751</v>
      </c>
      <c r="I96" s="7">
        <f t="shared" si="1"/>
        <v>7</v>
      </c>
      <c r="J96" s="7">
        <f>YEAR(Tableau36[[#This Row],[Date]])</f>
        <v>2022</v>
      </c>
      <c r="K96" s="8">
        <v>80</v>
      </c>
    </row>
    <row r="97" spans="2:11" hidden="1" x14ac:dyDescent="0.25">
      <c r="B97" s="7" t="s">
        <v>156</v>
      </c>
      <c r="C97" s="7" t="s">
        <v>275</v>
      </c>
      <c r="D97" s="7" t="s">
        <v>354</v>
      </c>
      <c r="E97" s="7" t="s">
        <v>127</v>
      </c>
      <c r="H97" s="13">
        <v>44755</v>
      </c>
      <c r="I97" s="7">
        <f t="shared" si="1"/>
        <v>7</v>
      </c>
      <c r="J97" s="7">
        <f>YEAR(Tableau36[[#This Row],[Date]])</f>
        <v>2022</v>
      </c>
      <c r="K97" s="8">
        <v>24</v>
      </c>
    </row>
    <row r="98" spans="2:11" hidden="1" x14ac:dyDescent="0.25">
      <c r="B98" s="7" t="s">
        <v>384</v>
      </c>
      <c r="C98" s="7" t="s">
        <v>152</v>
      </c>
      <c r="D98" s="7" t="s">
        <v>340</v>
      </c>
      <c r="E98" s="7" t="s">
        <v>127</v>
      </c>
      <c r="H98" s="13">
        <v>44757</v>
      </c>
      <c r="I98" s="7">
        <f t="shared" si="1"/>
        <v>7</v>
      </c>
      <c r="J98" s="7">
        <f>YEAR(Tableau36[[#This Row],[Date]])</f>
        <v>2022</v>
      </c>
      <c r="K98" s="8">
        <v>4350</v>
      </c>
    </row>
    <row r="99" spans="2:11" hidden="1" x14ac:dyDescent="0.25">
      <c r="B99" s="7" t="s">
        <v>155</v>
      </c>
      <c r="C99" s="7" t="s">
        <v>137</v>
      </c>
      <c r="D99" s="7" t="s">
        <v>355</v>
      </c>
      <c r="E99" s="7" t="s">
        <v>333</v>
      </c>
      <c r="F99" s="7" t="s">
        <v>580</v>
      </c>
      <c r="H99" s="13">
        <v>44760</v>
      </c>
      <c r="I99" s="7">
        <f t="shared" si="1"/>
        <v>7</v>
      </c>
      <c r="J99" s="7">
        <f>YEAR(Tableau36[[#This Row],[Date]])</f>
        <v>2022</v>
      </c>
      <c r="K99" s="8">
        <v>199</v>
      </c>
    </row>
    <row r="100" spans="2:11" hidden="1" x14ac:dyDescent="0.25">
      <c r="B100" s="7" t="s">
        <v>156</v>
      </c>
      <c r="C100" s="7" t="s">
        <v>275</v>
      </c>
      <c r="D100" s="7" t="s">
        <v>356</v>
      </c>
      <c r="E100" s="7" t="s">
        <v>127</v>
      </c>
      <c r="H100" s="13">
        <v>44762</v>
      </c>
      <c r="I100" s="7">
        <f t="shared" si="1"/>
        <v>7</v>
      </c>
      <c r="J100" s="7">
        <f>YEAR(Tableau36[[#This Row],[Date]])</f>
        <v>2022</v>
      </c>
      <c r="K100" s="8">
        <v>80</v>
      </c>
    </row>
    <row r="101" spans="2:11" hidden="1" x14ac:dyDescent="0.25">
      <c r="B101" s="7" t="s">
        <v>160</v>
      </c>
      <c r="C101" s="7" t="s">
        <v>161</v>
      </c>
      <c r="D101" s="7" t="s">
        <v>293</v>
      </c>
      <c r="E101" s="7" t="s">
        <v>127</v>
      </c>
      <c r="H101" s="13">
        <v>44764</v>
      </c>
      <c r="I101" s="7">
        <f t="shared" si="1"/>
        <v>7</v>
      </c>
      <c r="J101" s="7">
        <f>YEAR(Tableau36[[#This Row],[Date]])</f>
        <v>2022</v>
      </c>
      <c r="K101" s="8">
        <v>90</v>
      </c>
    </row>
    <row r="102" spans="2:11" hidden="1" x14ac:dyDescent="0.25">
      <c r="B102" s="7" t="s">
        <v>156</v>
      </c>
      <c r="C102" s="7" t="s">
        <v>159</v>
      </c>
      <c r="D102" s="7" t="s">
        <v>357</v>
      </c>
      <c r="E102" s="7" t="s">
        <v>127</v>
      </c>
      <c r="H102" s="13">
        <v>44767</v>
      </c>
      <c r="I102" s="7">
        <f t="shared" si="1"/>
        <v>7</v>
      </c>
      <c r="J102" s="7">
        <f>YEAR(Tableau36[[#This Row],[Date]])</f>
        <v>2022</v>
      </c>
      <c r="K102" s="8">
        <v>440</v>
      </c>
    </row>
    <row r="103" spans="2:11" hidden="1" x14ac:dyDescent="0.25">
      <c r="B103" s="7" t="s">
        <v>156</v>
      </c>
      <c r="C103" s="7" t="s">
        <v>158</v>
      </c>
      <c r="D103" s="7" t="s">
        <v>358</v>
      </c>
      <c r="E103" s="7" t="s">
        <v>127</v>
      </c>
      <c r="H103" s="13">
        <v>44767</v>
      </c>
      <c r="I103" s="7">
        <f t="shared" si="1"/>
        <v>7</v>
      </c>
      <c r="J103" s="7">
        <f>YEAR(Tableau36[[#This Row],[Date]])</f>
        <v>2022</v>
      </c>
      <c r="K103" s="8">
        <v>835</v>
      </c>
    </row>
    <row r="104" spans="2:11" hidden="1" x14ac:dyDescent="0.25">
      <c r="B104" s="7" t="s">
        <v>384</v>
      </c>
      <c r="C104" s="7" t="s">
        <v>152</v>
      </c>
      <c r="D104" s="7" t="s">
        <v>347</v>
      </c>
      <c r="E104" s="7" t="s">
        <v>127</v>
      </c>
      <c r="H104" s="13">
        <v>44772</v>
      </c>
      <c r="I104" s="7">
        <f t="shared" si="1"/>
        <v>7</v>
      </c>
      <c r="J104" s="7">
        <f>YEAR(Tableau36[[#This Row],[Date]])</f>
        <v>2022</v>
      </c>
      <c r="K104" s="8">
        <v>4350</v>
      </c>
    </row>
    <row r="105" spans="2:11" hidden="1" x14ac:dyDescent="0.25">
      <c r="B105" s="7" t="s">
        <v>384</v>
      </c>
      <c r="C105" s="7" t="s">
        <v>329</v>
      </c>
      <c r="D105" s="7" t="s">
        <v>214</v>
      </c>
      <c r="E105" s="7" t="s">
        <v>333</v>
      </c>
      <c r="F105" s="7" t="s">
        <v>580</v>
      </c>
      <c r="H105" s="13">
        <v>44784</v>
      </c>
      <c r="I105" s="7">
        <f t="shared" si="1"/>
        <v>8</v>
      </c>
      <c r="J105" s="7">
        <f>YEAR(Tableau36[[#This Row],[Date]])</f>
        <v>2022</v>
      </c>
      <c r="K105" s="8">
        <v>2514.3000000000002</v>
      </c>
    </row>
    <row r="106" spans="2:11" hidden="1" x14ac:dyDescent="0.25">
      <c r="B106" s="7" t="s">
        <v>156</v>
      </c>
      <c r="C106" s="7" t="s">
        <v>157</v>
      </c>
      <c r="D106" s="7" t="s">
        <v>337</v>
      </c>
      <c r="E106" s="7" t="s">
        <v>127</v>
      </c>
      <c r="H106" s="13">
        <v>44774</v>
      </c>
      <c r="I106" s="7">
        <f t="shared" si="1"/>
        <v>8</v>
      </c>
      <c r="J106" s="7">
        <f>YEAR(Tableau36[[#This Row],[Date]])</f>
        <v>2022</v>
      </c>
      <c r="K106" s="8">
        <v>72</v>
      </c>
    </row>
    <row r="107" spans="2:11" hidden="1" x14ac:dyDescent="0.25">
      <c r="B107" s="7" t="s">
        <v>155</v>
      </c>
      <c r="C107" s="7" t="s">
        <v>136</v>
      </c>
      <c r="D107" s="7" t="s">
        <v>359</v>
      </c>
      <c r="E107" s="7" t="s">
        <v>128</v>
      </c>
      <c r="F107" s="7" t="s">
        <v>580</v>
      </c>
      <c r="G107" s="7" t="s">
        <v>360</v>
      </c>
      <c r="H107" s="13">
        <v>44776</v>
      </c>
      <c r="I107" s="7">
        <f t="shared" si="1"/>
        <v>8</v>
      </c>
      <c r="J107" s="7">
        <f>YEAR(Tableau36[[#This Row],[Date]])</f>
        <v>2022</v>
      </c>
      <c r="K107" s="8">
        <v>1209.92</v>
      </c>
    </row>
    <row r="108" spans="2:11" hidden="1" x14ac:dyDescent="0.25">
      <c r="B108" s="7" t="s">
        <v>156</v>
      </c>
      <c r="C108" s="7" t="s">
        <v>275</v>
      </c>
      <c r="D108" s="7" t="s">
        <v>361</v>
      </c>
      <c r="E108" s="7" t="s">
        <v>127</v>
      </c>
      <c r="H108" s="13">
        <v>44776</v>
      </c>
      <c r="I108" s="7">
        <f t="shared" si="1"/>
        <v>8</v>
      </c>
      <c r="J108" s="7">
        <f>YEAR(Tableau36[[#This Row],[Date]])</f>
        <v>2022</v>
      </c>
      <c r="K108" s="8">
        <v>60</v>
      </c>
    </row>
    <row r="109" spans="2:11" hidden="1" x14ac:dyDescent="0.25">
      <c r="B109" s="7" t="s">
        <v>156</v>
      </c>
      <c r="C109" s="7" t="s">
        <v>275</v>
      </c>
      <c r="D109" s="7" t="s">
        <v>362</v>
      </c>
      <c r="E109" s="7" t="s">
        <v>127</v>
      </c>
      <c r="H109" s="13">
        <v>44776</v>
      </c>
      <c r="I109" s="7">
        <f t="shared" si="1"/>
        <v>8</v>
      </c>
      <c r="J109" s="7">
        <f>YEAR(Tableau36[[#This Row],[Date]])</f>
        <v>2022</v>
      </c>
      <c r="K109" s="8">
        <v>3</v>
      </c>
    </row>
    <row r="110" spans="2:11" hidden="1" x14ac:dyDescent="0.25">
      <c r="B110" s="7" t="s">
        <v>156</v>
      </c>
      <c r="C110" s="7" t="s">
        <v>275</v>
      </c>
      <c r="D110" s="7" t="s">
        <v>363</v>
      </c>
      <c r="E110" s="7" t="s">
        <v>127</v>
      </c>
      <c r="H110" s="13">
        <v>44776</v>
      </c>
      <c r="I110" s="7">
        <f t="shared" si="1"/>
        <v>8</v>
      </c>
      <c r="J110" s="7">
        <f>YEAR(Tableau36[[#This Row],[Date]])</f>
        <v>2022</v>
      </c>
      <c r="K110" s="8">
        <v>18</v>
      </c>
    </row>
    <row r="111" spans="2:11" hidden="1" x14ac:dyDescent="0.25">
      <c r="B111" s="7" t="s">
        <v>156</v>
      </c>
      <c r="C111" s="7" t="s">
        <v>275</v>
      </c>
      <c r="D111" s="7" t="s">
        <v>364</v>
      </c>
      <c r="E111" s="7" t="s">
        <v>127</v>
      </c>
      <c r="H111" s="13">
        <v>44777</v>
      </c>
      <c r="I111" s="7">
        <f t="shared" si="1"/>
        <v>8</v>
      </c>
      <c r="J111" s="7">
        <f>YEAR(Tableau36[[#This Row],[Date]])</f>
        <v>2022</v>
      </c>
      <c r="K111" s="8">
        <v>60</v>
      </c>
    </row>
    <row r="112" spans="2:11" hidden="1" x14ac:dyDescent="0.25">
      <c r="B112" s="7" t="s">
        <v>156</v>
      </c>
      <c r="C112" s="7" t="s">
        <v>157</v>
      </c>
      <c r="D112" s="7" t="s">
        <v>365</v>
      </c>
      <c r="E112" s="7" t="s">
        <v>127</v>
      </c>
      <c r="H112" s="13">
        <v>44777</v>
      </c>
      <c r="I112" s="7">
        <f t="shared" si="1"/>
        <v>8</v>
      </c>
      <c r="J112" s="7">
        <f>YEAR(Tableau36[[#This Row],[Date]])</f>
        <v>2022</v>
      </c>
      <c r="K112" s="8">
        <v>120</v>
      </c>
    </row>
    <row r="113" spans="2:11" hidden="1" x14ac:dyDescent="0.25">
      <c r="B113" s="7" t="s">
        <v>156</v>
      </c>
      <c r="C113" s="7" t="s">
        <v>275</v>
      </c>
      <c r="D113" s="7" t="s">
        <v>366</v>
      </c>
      <c r="E113" s="7" t="s">
        <v>127</v>
      </c>
      <c r="H113" s="13">
        <v>44778</v>
      </c>
      <c r="I113" s="7">
        <f t="shared" si="1"/>
        <v>8</v>
      </c>
      <c r="J113" s="7">
        <f>YEAR(Tableau36[[#This Row],[Date]])</f>
        <v>2022</v>
      </c>
      <c r="K113" s="8">
        <v>195</v>
      </c>
    </row>
    <row r="114" spans="2:11" hidden="1" x14ac:dyDescent="0.25">
      <c r="B114" s="7" t="s">
        <v>156</v>
      </c>
      <c r="C114" s="7" t="s">
        <v>275</v>
      </c>
      <c r="D114" s="7" t="s">
        <v>367</v>
      </c>
      <c r="E114" s="7" t="s">
        <v>127</v>
      </c>
      <c r="H114" s="13">
        <v>44778</v>
      </c>
      <c r="I114" s="7">
        <f t="shared" si="1"/>
        <v>8</v>
      </c>
      <c r="J114" s="7">
        <f>YEAR(Tableau36[[#This Row],[Date]])</f>
        <v>2022</v>
      </c>
      <c r="K114" s="8">
        <v>45</v>
      </c>
    </row>
    <row r="115" spans="2:11" hidden="1" x14ac:dyDescent="0.25">
      <c r="B115" s="7" t="s">
        <v>160</v>
      </c>
      <c r="C115" s="7" t="s">
        <v>368</v>
      </c>
      <c r="D115" s="7" t="s">
        <v>369</v>
      </c>
      <c r="E115" s="7" t="s">
        <v>127</v>
      </c>
      <c r="H115" s="13">
        <v>44778</v>
      </c>
      <c r="I115" s="7">
        <f t="shared" si="1"/>
        <v>8</v>
      </c>
      <c r="J115" s="7">
        <f>YEAR(Tableau36[[#This Row],[Date]])</f>
        <v>2022</v>
      </c>
      <c r="K115" s="8">
        <v>150</v>
      </c>
    </row>
    <row r="116" spans="2:11" hidden="1" x14ac:dyDescent="0.25">
      <c r="B116" s="7" t="s">
        <v>155</v>
      </c>
      <c r="C116" s="7" t="s">
        <v>137</v>
      </c>
      <c r="D116" s="7" t="s">
        <v>370</v>
      </c>
      <c r="E116" s="7" t="s">
        <v>333</v>
      </c>
      <c r="F116" s="7" t="s">
        <v>580</v>
      </c>
      <c r="H116" s="13">
        <v>44782</v>
      </c>
      <c r="I116" s="7">
        <f t="shared" si="1"/>
        <v>8</v>
      </c>
      <c r="J116" s="7">
        <f>YEAR(Tableau36[[#This Row],[Date]])</f>
        <v>2022</v>
      </c>
      <c r="K116" s="8">
        <v>199</v>
      </c>
    </row>
    <row r="117" spans="2:11" hidden="1" x14ac:dyDescent="0.25">
      <c r="B117" s="7" t="s">
        <v>156</v>
      </c>
      <c r="C117" s="7" t="s">
        <v>275</v>
      </c>
      <c r="D117" s="7" t="s">
        <v>371</v>
      </c>
      <c r="E117" s="7" t="s">
        <v>127</v>
      </c>
      <c r="H117" s="13">
        <v>44783</v>
      </c>
      <c r="I117" s="7">
        <f t="shared" si="1"/>
        <v>8</v>
      </c>
      <c r="J117" s="7">
        <f>YEAR(Tableau36[[#This Row],[Date]])</f>
        <v>2022</v>
      </c>
      <c r="K117" s="8">
        <v>61</v>
      </c>
    </row>
    <row r="118" spans="2:11" hidden="1" x14ac:dyDescent="0.25">
      <c r="B118" s="7" t="s">
        <v>160</v>
      </c>
      <c r="C118" s="7" t="s">
        <v>161</v>
      </c>
      <c r="D118" s="7" t="s">
        <v>293</v>
      </c>
      <c r="E118" s="7" t="s">
        <v>127</v>
      </c>
      <c r="H118" s="13">
        <v>44783</v>
      </c>
      <c r="I118" s="7">
        <f t="shared" si="1"/>
        <v>8</v>
      </c>
      <c r="J118" s="7">
        <f>YEAR(Tableau36[[#This Row],[Date]])</f>
        <v>2022</v>
      </c>
      <c r="K118" s="8">
        <v>20</v>
      </c>
    </row>
    <row r="119" spans="2:11" hidden="1" x14ac:dyDescent="0.25">
      <c r="B119" s="7" t="s">
        <v>156</v>
      </c>
      <c r="C119" s="7" t="s">
        <v>158</v>
      </c>
      <c r="D119" s="7" t="s">
        <v>372</v>
      </c>
      <c r="E119" s="7" t="s">
        <v>127</v>
      </c>
      <c r="H119" s="13">
        <v>44783</v>
      </c>
      <c r="I119" s="7">
        <f t="shared" si="1"/>
        <v>8</v>
      </c>
      <c r="J119" s="7">
        <f>YEAR(Tableau36[[#This Row],[Date]])</f>
        <v>2022</v>
      </c>
      <c r="K119" s="8">
        <v>400</v>
      </c>
    </row>
    <row r="120" spans="2:11" hidden="1" x14ac:dyDescent="0.25">
      <c r="B120" s="7" t="s">
        <v>156</v>
      </c>
      <c r="C120" s="7" t="s">
        <v>157</v>
      </c>
      <c r="D120" s="7" t="s">
        <v>337</v>
      </c>
      <c r="E120" s="7" t="s">
        <v>127</v>
      </c>
      <c r="H120" s="13">
        <v>44789</v>
      </c>
      <c r="I120" s="7">
        <f t="shared" si="1"/>
        <v>8</v>
      </c>
      <c r="J120" s="7">
        <f>YEAR(Tableau36[[#This Row],[Date]])</f>
        <v>2022</v>
      </c>
      <c r="K120" s="8">
        <v>95</v>
      </c>
    </row>
    <row r="121" spans="2:11" hidden="1" x14ac:dyDescent="0.25">
      <c r="B121" s="7" t="s">
        <v>156</v>
      </c>
      <c r="C121" s="7" t="s">
        <v>275</v>
      </c>
      <c r="D121" s="7" t="s">
        <v>342</v>
      </c>
      <c r="E121" s="7" t="s">
        <v>127</v>
      </c>
      <c r="H121" s="13">
        <v>44789</v>
      </c>
      <c r="I121" s="7">
        <f t="shared" si="1"/>
        <v>8</v>
      </c>
      <c r="J121" s="7">
        <f>YEAR(Tableau36[[#This Row],[Date]])</f>
        <v>2022</v>
      </c>
      <c r="K121" s="8">
        <v>15</v>
      </c>
    </row>
    <row r="122" spans="2:11" hidden="1" x14ac:dyDescent="0.25">
      <c r="B122" s="7" t="s">
        <v>156</v>
      </c>
      <c r="C122" s="7" t="s">
        <v>159</v>
      </c>
      <c r="D122" s="7" t="s">
        <v>373</v>
      </c>
      <c r="E122" s="7" t="s">
        <v>127</v>
      </c>
      <c r="H122" s="13">
        <v>44789</v>
      </c>
      <c r="I122" s="7">
        <f t="shared" si="1"/>
        <v>8</v>
      </c>
      <c r="J122" s="7">
        <f>YEAR(Tableau36[[#This Row],[Date]])</f>
        <v>2022</v>
      </c>
      <c r="K122" s="8">
        <v>105</v>
      </c>
    </row>
    <row r="123" spans="2:11" hidden="1" x14ac:dyDescent="0.25">
      <c r="B123" s="7" t="s">
        <v>384</v>
      </c>
      <c r="C123" s="7" t="s">
        <v>329</v>
      </c>
      <c r="D123" s="7" t="s">
        <v>12</v>
      </c>
      <c r="E123" s="7" t="s">
        <v>333</v>
      </c>
      <c r="F123" s="7" t="s">
        <v>580</v>
      </c>
      <c r="H123" s="13">
        <v>44815</v>
      </c>
      <c r="I123" s="7">
        <f t="shared" si="1"/>
        <v>9</v>
      </c>
      <c r="J123" s="7">
        <f>YEAR(Tableau36[[#This Row],[Date]])</f>
        <v>2022</v>
      </c>
      <c r="K123" s="8">
        <v>2514.3000000000002</v>
      </c>
    </row>
    <row r="124" spans="2:11" hidden="1" x14ac:dyDescent="0.25">
      <c r="B124" s="7" t="s">
        <v>160</v>
      </c>
      <c r="C124" s="7" t="s">
        <v>161</v>
      </c>
      <c r="D124" s="7" t="s">
        <v>293</v>
      </c>
      <c r="E124" s="7" t="s">
        <v>127</v>
      </c>
      <c r="H124" s="13">
        <v>44790</v>
      </c>
      <c r="I124" s="7">
        <f t="shared" si="1"/>
        <v>8</v>
      </c>
      <c r="J124" s="7">
        <f>YEAR(Tableau36[[#This Row],[Date]])</f>
        <v>2022</v>
      </c>
      <c r="K124" s="8">
        <v>80</v>
      </c>
    </row>
    <row r="125" spans="2:11" hidden="1" x14ac:dyDescent="0.25">
      <c r="B125" s="7" t="s">
        <v>156</v>
      </c>
      <c r="C125" s="7" t="s">
        <v>275</v>
      </c>
      <c r="D125" s="7" t="s">
        <v>374</v>
      </c>
      <c r="E125" s="7" t="s">
        <v>128</v>
      </c>
      <c r="F125" s="7" t="s">
        <v>580</v>
      </c>
      <c r="G125" s="7" t="s">
        <v>375</v>
      </c>
      <c r="H125" s="13">
        <v>44796</v>
      </c>
      <c r="I125" s="7">
        <f t="shared" si="1"/>
        <v>8</v>
      </c>
      <c r="J125" s="7">
        <f>YEAR(Tableau36[[#This Row],[Date]])</f>
        <v>2022</v>
      </c>
      <c r="K125" s="8">
        <v>2609</v>
      </c>
    </row>
    <row r="126" spans="2:11" hidden="1" x14ac:dyDescent="0.25">
      <c r="B126" s="7" t="s">
        <v>156</v>
      </c>
      <c r="C126" s="7" t="s">
        <v>275</v>
      </c>
      <c r="D126" s="7" t="s">
        <v>374</v>
      </c>
      <c r="E126" s="7" t="s">
        <v>127</v>
      </c>
      <c r="H126" s="13">
        <v>44796</v>
      </c>
      <c r="I126" s="7">
        <f t="shared" si="1"/>
        <v>8</v>
      </c>
      <c r="J126" s="7">
        <f>YEAR(Tableau36[[#This Row],[Date]])</f>
        <v>2022</v>
      </c>
      <c r="K126" s="8">
        <v>22</v>
      </c>
    </row>
    <row r="127" spans="2:11" hidden="1" x14ac:dyDescent="0.25">
      <c r="B127" s="7" t="s">
        <v>156</v>
      </c>
      <c r="C127" s="7" t="s">
        <v>158</v>
      </c>
      <c r="D127" s="7" t="s">
        <v>376</v>
      </c>
      <c r="E127" s="7" t="s">
        <v>127</v>
      </c>
      <c r="H127" s="13">
        <v>44796</v>
      </c>
      <c r="I127" s="7">
        <f t="shared" si="1"/>
        <v>8</v>
      </c>
      <c r="J127" s="7">
        <f>YEAR(Tableau36[[#This Row],[Date]])</f>
        <v>2022</v>
      </c>
      <c r="K127" s="8">
        <v>270</v>
      </c>
    </row>
    <row r="128" spans="2:11" hidden="1" x14ac:dyDescent="0.25">
      <c r="B128" s="7" t="s">
        <v>156</v>
      </c>
      <c r="C128" s="7" t="s">
        <v>158</v>
      </c>
      <c r="D128" s="7" t="s">
        <v>377</v>
      </c>
      <c r="E128" s="7" t="s">
        <v>127</v>
      </c>
      <c r="H128" s="13">
        <v>44796</v>
      </c>
      <c r="I128" s="7">
        <f t="shared" si="1"/>
        <v>8</v>
      </c>
      <c r="J128" s="7">
        <f>YEAR(Tableau36[[#This Row],[Date]])</f>
        <v>2022</v>
      </c>
      <c r="K128" s="8">
        <v>350</v>
      </c>
    </row>
    <row r="129" spans="2:11" hidden="1" x14ac:dyDescent="0.25">
      <c r="B129" s="7" t="s">
        <v>156</v>
      </c>
      <c r="C129" s="7" t="s">
        <v>158</v>
      </c>
      <c r="D129" s="7" t="s">
        <v>378</v>
      </c>
      <c r="E129" s="7" t="s">
        <v>127</v>
      </c>
      <c r="H129" s="13">
        <v>44798</v>
      </c>
      <c r="I129" s="7">
        <f t="shared" si="1"/>
        <v>8</v>
      </c>
      <c r="J129" s="7">
        <f>YEAR(Tableau36[[#This Row],[Date]])</f>
        <v>2022</v>
      </c>
      <c r="K129" s="8">
        <v>400</v>
      </c>
    </row>
    <row r="130" spans="2:11" hidden="1" x14ac:dyDescent="0.25">
      <c r="B130" s="7" t="s">
        <v>384</v>
      </c>
      <c r="C130" s="7" t="s">
        <v>152</v>
      </c>
      <c r="D130" s="7" t="s">
        <v>12</v>
      </c>
      <c r="E130" s="7" t="s">
        <v>127</v>
      </c>
      <c r="H130" s="13">
        <v>44803</v>
      </c>
      <c r="I130" s="7">
        <f t="shared" si="1"/>
        <v>8</v>
      </c>
      <c r="J130" s="7">
        <f>YEAR(Tableau36[[#This Row],[Date]])</f>
        <v>2022</v>
      </c>
      <c r="K130" s="8">
        <v>8700</v>
      </c>
    </row>
    <row r="131" spans="2:11" hidden="1" x14ac:dyDescent="0.25">
      <c r="B131" s="7" t="s">
        <v>156</v>
      </c>
      <c r="C131" s="7" t="s">
        <v>159</v>
      </c>
      <c r="D131" s="7" t="s">
        <v>379</v>
      </c>
      <c r="E131" s="7" t="s">
        <v>127</v>
      </c>
      <c r="H131" s="13">
        <v>44805</v>
      </c>
      <c r="I131" s="7">
        <f t="shared" si="1"/>
        <v>9</v>
      </c>
      <c r="J131" s="7">
        <f>YEAR(Tableau36[[#This Row],[Date]])</f>
        <v>2022</v>
      </c>
      <c r="K131" s="8">
        <v>280</v>
      </c>
    </row>
    <row r="132" spans="2:11" hidden="1" x14ac:dyDescent="0.25">
      <c r="B132" s="7" t="s">
        <v>156</v>
      </c>
      <c r="C132" s="7" t="s">
        <v>158</v>
      </c>
      <c r="D132" s="7" t="s">
        <v>380</v>
      </c>
      <c r="E132" s="7" t="s">
        <v>127</v>
      </c>
      <c r="H132" s="13">
        <v>44805</v>
      </c>
      <c r="I132" s="7">
        <f t="shared" si="1"/>
        <v>9</v>
      </c>
      <c r="J132" s="7">
        <f>YEAR(Tableau36[[#This Row],[Date]])</f>
        <v>2022</v>
      </c>
      <c r="K132" s="8">
        <v>550</v>
      </c>
    </row>
    <row r="133" spans="2:11" hidden="1" x14ac:dyDescent="0.25">
      <c r="B133" s="7" t="s">
        <v>155</v>
      </c>
      <c r="C133" s="7" t="s">
        <v>136</v>
      </c>
      <c r="D133" s="7" t="s">
        <v>381</v>
      </c>
      <c r="E133" s="7" t="s">
        <v>128</v>
      </c>
      <c r="F133" s="7" t="s">
        <v>580</v>
      </c>
      <c r="G133" s="7" t="s">
        <v>382</v>
      </c>
      <c r="H133" s="13">
        <v>44809</v>
      </c>
      <c r="I133" s="7">
        <f t="shared" si="1"/>
        <v>9</v>
      </c>
      <c r="J133" s="7">
        <f>YEAR(Tableau36[[#This Row],[Date]])</f>
        <v>2022</v>
      </c>
      <c r="K133" s="8">
        <v>1169.5899999999999</v>
      </c>
    </row>
    <row r="134" spans="2:11" hidden="1" x14ac:dyDescent="0.25">
      <c r="B134" s="7" t="s">
        <v>155</v>
      </c>
      <c r="C134" s="7" t="s">
        <v>137</v>
      </c>
      <c r="D134" s="7" t="s">
        <v>383</v>
      </c>
      <c r="E134" s="7" t="s">
        <v>333</v>
      </c>
      <c r="F134" s="7" t="s">
        <v>580</v>
      </c>
      <c r="H134" s="13">
        <v>44813</v>
      </c>
      <c r="I134" s="7">
        <f t="shared" si="1"/>
        <v>9</v>
      </c>
      <c r="J134" s="7">
        <f>YEAR(Tableau36[[#This Row],[Date]])</f>
        <v>2022</v>
      </c>
      <c r="K134" s="8">
        <v>199</v>
      </c>
    </row>
    <row r="135" spans="2:11" hidden="1" x14ac:dyDescent="0.25">
      <c r="B135" s="7" t="s">
        <v>156</v>
      </c>
      <c r="C135" s="7" t="s">
        <v>275</v>
      </c>
      <c r="D135" s="7" t="s">
        <v>342</v>
      </c>
      <c r="E135" s="7" t="s">
        <v>127</v>
      </c>
      <c r="H135" s="13">
        <v>44816</v>
      </c>
      <c r="I135" s="7">
        <f t="shared" ref="I135:I198" si="2">MONTH(H135)</f>
        <v>9</v>
      </c>
      <c r="J135" s="7">
        <f>YEAR(Tableau36[[#This Row],[Date]])</f>
        <v>2022</v>
      </c>
      <c r="K135" s="8">
        <v>26</v>
      </c>
    </row>
    <row r="136" spans="2:11" hidden="1" x14ac:dyDescent="0.25">
      <c r="B136" s="7" t="s">
        <v>384</v>
      </c>
      <c r="C136" s="7" t="s">
        <v>329</v>
      </c>
      <c r="D136" s="7" t="s">
        <v>222</v>
      </c>
      <c r="E136" s="7" t="s">
        <v>333</v>
      </c>
      <c r="F136" s="7" t="s">
        <v>580</v>
      </c>
      <c r="H136" s="13">
        <v>44845</v>
      </c>
      <c r="I136" s="7">
        <f t="shared" si="2"/>
        <v>10</v>
      </c>
      <c r="J136" s="7">
        <f>YEAR(Tableau36[[#This Row],[Date]])</f>
        <v>2022</v>
      </c>
      <c r="K136" s="8">
        <v>2514.3000000000002</v>
      </c>
    </row>
    <row r="137" spans="2:11" hidden="1" x14ac:dyDescent="0.25">
      <c r="B137" s="7" t="s">
        <v>160</v>
      </c>
      <c r="C137" s="7" t="s">
        <v>161</v>
      </c>
      <c r="D137" s="7" t="s">
        <v>293</v>
      </c>
      <c r="E137" s="7" t="s">
        <v>127</v>
      </c>
      <c r="H137" s="13">
        <v>44818</v>
      </c>
      <c r="I137" s="7">
        <f t="shared" si="2"/>
        <v>9</v>
      </c>
      <c r="J137" s="7">
        <f>YEAR(Tableau36[[#This Row],[Date]])</f>
        <v>2022</v>
      </c>
      <c r="K137" s="8">
        <v>75</v>
      </c>
    </row>
    <row r="138" spans="2:11" hidden="1" x14ac:dyDescent="0.25">
      <c r="B138" s="7" t="s">
        <v>156</v>
      </c>
      <c r="C138" s="7" t="s">
        <v>157</v>
      </c>
      <c r="D138" s="7" t="s">
        <v>337</v>
      </c>
      <c r="E138" s="7" t="s">
        <v>127</v>
      </c>
      <c r="H138" s="13">
        <v>44818</v>
      </c>
      <c r="I138" s="7">
        <f t="shared" si="2"/>
        <v>9</v>
      </c>
      <c r="J138" s="7">
        <f>YEAR(Tableau36[[#This Row],[Date]])</f>
        <v>2022</v>
      </c>
      <c r="K138" s="8">
        <v>95</v>
      </c>
    </row>
    <row r="139" spans="2:11" hidden="1" x14ac:dyDescent="0.25">
      <c r="B139" s="7" t="s">
        <v>384</v>
      </c>
      <c r="C139" s="7" t="s">
        <v>152</v>
      </c>
      <c r="D139" s="7" t="s">
        <v>385</v>
      </c>
      <c r="E139" s="7" t="s">
        <v>127</v>
      </c>
      <c r="H139" s="13">
        <v>44819</v>
      </c>
      <c r="I139" s="7">
        <f t="shared" si="2"/>
        <v>9</v>
      </c>
      <c r="J139" s="7">
        <f>YEAR(Tableau36[[#This Row],[Date]])</f>
        <v>2022</v>
      </c>
      <c r="K139" s="8">
        <v>4565</v>
      </c>
    </row>
    <row r="140" spans="2:11" hidden="1" x14ac:dyDescent="0.25">
      <c r="B140" s="7" t="s">
        <v>160</v>
      </c>
      <c r="C140" s="7" t="s">
        <v>368</v>
      </c>
      <c r="D140" s="7" t="s">
        <v>386</v>
      </c>
      <c r="E140" s="7" t="s">
        <v>127</v>
      </c>
      <c r="H140" s="13">
        <v>44823</v>
      </c>
      <c r="I140" s="7">
        <f t="shared" si="2"/>
        <v>9</v>
      </c>
      <c r="J140" s="7">
        <f>YEAR(Tableau36[[#This Row],[Date]])</f>
        <v>2022</v>
      </c>
      <c r="K140" s="8">
        <v>80</v>
      </c>
    </row>
    <row r="141" spans="2:11" hidden="1" x14ac:dyDescent="0.25">
      <c r="B141" s="7" t="s">
        <v>156</v>
      </c>
      <c r="C141" s="7" t="s">
        <v>275</v>
      </c>
      <c r="D141" s="7" t="s">
        <v>387</v>
      </c>
      <c r="E141" s="7" t="s">
        <v>127</v>
      </c>
      <c r="H141" s="13">
        <v>44823</v>
      </c>
      <c r="I141" s="7">
        <f t="shared" si="2"/>
        <v>9</v>
      </c>
      <c r="J141" s="7">
        <f>YEAR(Tableau36[[#This Row],[Date]])</f>
        <v>2022</v>
      </c>
      <c r="K141" s="8">
        <v>100</v>
      </c>
    </row>
    <row r="142" spans="2:11" hidden="1" x14ac:dyDescent="0.25">
      <c r="B142" s="7" t="s">
        <v>156</v>
      </c>
      <c r="C142" s="7" t="s">
        <v>275</v>
      </c>
      <c r="D142" s="7" t="s">
        <v>388</v>
      </c>
      <c r="E142" s="7" t="s">
        <v>127</v>
      </c>
      <c r="H142" s="13">
        <v>44824</v>
      </c>
      <c r="I142" s="7">
        <f t="shared" si="2"/>
        <v>9</v>
      </c>
      <c r="J142" s="7">
        <f>YEAR(Tableau36[[#This Row],[Date]])</f>
        <v>2022</v>
      </c>
      <c r="K142" s="8">
        <v>12</v>
      </c>
    </row>
    <row r="143" spans="2:11" hidden="1" x14ac:dyDescent="0.25">
      <c r="B143" s="7" t="s">
        <v>156</v>
      </c>
      <c r="C143" s="7" t="s">
        <v>159</v>
      </c>
      <c r="D143" s="7" t="s">
        <v>389</v>
      </c>
      <c r="E143" s="7" t="s">
        <v>127</v>
      </c>
      <c r="H143" s="13">
        <v>44824</v>
      </c>
      <c r="I143" s="7">
        <f t="shared" si="2"/>
        <v>9</v>
      </c>
      <c r="J143" s="7">
        <f>YEAR(Tableau36[[#This Row],[Date]])</f>
        <v>2022</v>
      </c>
      <c r="K143" s="8">
        <v>100</v>
      </c>
    </row>
    <row r="144" spans="2:11" hidden="1" x14ac:dyDescent="0.25">
      <c r="B144" s="7" t="s">
        <v>156</v>
      </c>
      <c r="C144" s="7" t="s">
        <v>275</v>
      </c>
      <c r="D144" s="7" t="s">
        <v>390</v>
      </c>
      <c r="E144" s="7" t="s">
        <v>127</v>
      </c>
      <c r="H144" s="13">
        <v>44832</v>
      </c>
      <c r="I144" s="7">
        <f t="shared" si="2"/>
        <v>9</v>
      </c>
      <c r="J144" s="7">
        <f>YEAR(Tableau36[[#This Row],[Date]])</f>
        <v>2022</v>
      </c>
      <c r="K144" s="8">
        <v>30</v>
      </c>
    </row>
    <row r="145" spans="2:11" hidden="1" x14ac:dyDescent="0.25">
      <c r="B145" s="7" t="s">
        <v>156</v>
      </c>
      <c r="C145" s="7" t="s">
        <v>275</v>
      </c>
      <c r="D145" s="7" t="s">
        <v>390</v>
      </c>
      <c r="E145" s="7" t="s">
        <v>127</v>
      </c>
      <c r="H145" s="13">
        <v>44832</v>
      </c>
      <c r="I145" s="7">
        <f t="shared" si="2"/>
        <v>9</v>
      </c>
      <c r="J145" s="7">
        <f>YEAR(Tableau36[[#This Row],[Date]])</f>
        <v>2022</v>
      </c>
      <c r="K145" s="8">
        <v>60</v>
      </c>
    </row>
    <row r="146" spans="2:11" hidden="1" x14ac:dyDescent="0.25">
      <c r="B146" s="7" t="s">
        <v>384</v>
      </c>
      <c r="C146" s="7" t="s">
        <v>152</v>
      </c>
      <c r="D146" s="7" t="s">
        <v>347</v>
      </c>
      <c r="E146" s="7" t="s">
        <v>127</v>
      </c>
      <c r="H146" s="13">
        <v>44834</v>
      </c>
      <c r="I146" s="7">
        <f t="shared" si="2"/>
        <v>9</v>
      </c>
      <c r="J146" s="7">
        <f>YEAR(Tableau36[[#This Row],[Date]])</f>
        <v>2022</v>
      </c>
      <c r="K146" s="8">
        <v>4565</v>
      </c>
    </row>
    <row r="147" spans="2:11" hidden="1" x14ac:dyDescent="0.25">
      <c r="B147" s="7" t="s">
        <v>155</v>
      </c>
      <c r="C147" s="7" t="s">
        <v>136</v>
      </c>
      <c r="D147" s="7" t="s">
        <v>393</v>
      </c>
      <c r="E147" s="7" t="s">
        <v>128</v>
      </c>
      <c r="F147" s="7" t="s">
        <v>580</v>
      </c>
      <c r="G147" s="7" t="s">
        <v>394</v>
      </c>
      <c r="H147" s="13">
        <v>44837</v>
      </c>
      <c r="I147" s="7">
        <f t="shared" si="2"/>
        <v>10</v>
      </c>
      <c r="J147" s="7">
        <f>YEAR(Tableau36[[#This Row],[Date]])</f>
        <v>2022</v>
      </c>
      <c r="K147" s="8">
        <v>1244.27</v>
      </c>
    </row>
    <row r="148" spans="2:11" hidden="1" x14ac:dyDescent="0.25">
      <c r="B148" s="7" t="s">
        <v>160</v>
      </c>
      <c r="C148" s="7" t="s">
        <v>161</v>
      </c>
      <c r="D148" s="7" t="s">
        <v>293</v>
      </c>
      <c r="E148" s="7" t="s">
        <v>127</v>
      </c>
      <c r="H148" s="13">
        <v>44837</v>
      </c>
      <c r="I148" s="7">
        <f t="shared" si="2"/>
        <v>10</v>
      </c>
      <c r="J148" s="7">
        <f>YEAR(Tableau36[[#This Row],[Date]])</f>
        <v>2022</v>
      </c>
      <c r="K148" s="8">
        <v>79</v>
      </c>
    </row>
    <row r="149" spans="2:11" hidden="1" x14ac:dyDescent="0.25">
      <c r="B149" s="7" t="s">
        <v>156</v>
      </c>
      <c r="C149" s="7" t="s">
        <v>275</v>
      </c>
      <c r="D149" s="7" t="s">
        <v>330</v>
      </c>
      <c r="E149" s="7" t="s">
        <v>127</v>
      </c>
      <c r="H149" s="13">
        <v>44838</v>
      </c>
      <c r="I149" s="7">
        <f t="shared" si="2"/>
        <v>10</v>
      </c>
      <c r="J149" s="7">
        <f>YEAR(Tableau36[[#This Row],[Date]])</f>
        <v>2022</v>
      </c>
      <c r="K149" s="8">
        <v>7</v>
      </c>
    </row>
    <row r="150" spans="2:11" hidden="1" x14ac:dyDescent="0.25">
      <c r="B150" s="7" t="s">
        <v>155</v>
      </c>
      <c r="C150" s="7" t="s">
        <v>137</v>
      </c>
      <c r="D150" s="7" t="s">
        <v>395</v>
      </c>
      <c r="E150" s="7" t="s">
        <v>333</v>
      </c>
      <c r="F150" s="7" t="s">
        <v>580</v>
      </c>
      <c r="H150" s="13">
        <v>44839</v>
      </c>
      <c r="I150" s="7">
        <f t="shared" si="2"/>
        <v>10</v>
      </c>
      <c r="J150" s="7">
        <f>YEAR(Tableau36[[#This Row],[Date]])</f>
        <v>2022</v>
      </c>
      <c r="K150" s="8">
        <v>199</v>
      </c>
    </row>
    <row r="151" spans="2:11" hidden="1" x14ac:dyDescent="0.25">
      <c r="B151" s="7" t="s">
        <v>156</v>
      </c>
      <c r="C151" s="7" t="s">
        <v>159</v>
      </c>
      <c r="D151" s="7" t="s">
        <v>396</v>
      </c>
      <c r="E151" s="7" t="s">
        <v>127</v>
      </c>
      <c r="H151" s="13">
        <v>44840</v>
      </c>
      <c r="I151" s="7">
        <f t="shared" si="2"/>
        <v>10</v>
      </c>
      <c r="J151" s="7">
        <f>YEAR(Tableau36[[#This Row],[Date]])</f>
        <v>2022</v>
      </c>
      <c r="K151" s="8">
        <v>180</v>
      </c>
    </row>
    <row r="152" spans="2:11" hidden="1" x14ac:dyDescent="0.25">
      <c r="B152" s="7" t="s">
        <v>156</v>
      </c>
      <c r="C152" s="7" t="s">
        <v>157</v>
      </c>
      <c r="D152" s="7" t="s">
        <v>337</v>
      </c>
      <c r="E152" s="7" t="s">
        <v>127</v>
      </c>
      <c r="H152" s="13">
        <v>44845</v>
      </c>
      <c r="I152" s="7">
        <f t="shared" si="2"/>
        <v>10</v>
      </c>
      <c r="J152" s="7">
        <f>YEAR(Tableau36[[#This Row],[Date]])</f>
        <v>2022</v>
      </c>
      <c r="K152" s="8">
        <v>95</v>
      </c>
    </row>
    <row r="153" spans="2:11" hidden="1" x14ac:dyDescent="0.25">
      <c r="B153" s="7" t="s">
        <v>156</v>
      </c>
      <c r="C153" s="7" t="s">
        <v>158</v>
      </c>
      <c r="D153" s="7" t="s">
        <v>397</v>
      </c>
      <c r="E153" s="7" t="s">
        <v>127</v>
      </c>
      <c r="H153" s="13">
        <v>44846</v>
      </c>
      <c r="I153" s="7">
        <f t="shared" si="2"/>
        <v>10</v>
      </c>
      <c r="J153" s="7">
        <f>YEAR(Tableau36[[#This Row],[Date]])</f>
        <v>2022</v>
      </c>
      <c r="K153" s="8">
        <v>400</v>
      </c>
    </row>
    <row r="154" spans="2:11" hidden="1" x14ac:dyDescent="0.25">
      <c r="B154" s="7" t="s">
        <v>156</v>
      </c>
      <c r="C154" s="7" t="s">
        <v>275</v>
      </c>
      <c r="D154" s="7" t="s">
        <v>345</v>
      </c>
      <c r="E154" s="7" t="s">
        <v>127</v>
      </c>
      <c r="H154" s="13">
        <v>44848</v>
      </c>
      <c r="I154" s="7">
        <f t="shared" si="2"/>
        <v>10</v>
      </c>
      <c r="J154" s="7">
        <f>YEAR(Tableau36[[#This Row],[Date]])</f>
        <v>2022</v>
      </c>
      <c r="K154" s="8">
        <v>175</v>
      </c>
    </row>
    <row r="155" spans="2:11" hidden="1" x14ac:dyDescent="0.25">
      <c r="B155" s="7" t="s">
        <v>384</v>
      </c>
      <c r="C155" s="7" t="s">
        <v>152</v>
      </c>
      <c r="D155" s="7" t="s">
        <v>398</v>
      </c>
      <c r="E155" s="7" t="s">
        <v>127</v>
      </c>
      <c r="H155" s="13">
        <v>44849</v>
      </c>
      <c r="I155" s="7">
        <f t="shared" si="2"/>
        <v>10</v>
      </c>
      <c r="J155" s="7">
        <f>YEAR(Tableau36[[#This Row],[Date]])</f>
        <v>2022</v>
      </c>
      <c r="K155" s="8">
        <v>4565</v>
      </c>
    </row>
    <row r="156" spans="2:11" hidden="1" x14ac:dyDescent="0.25">
      <c r="B156" s="7" t="s">
        <v>384</v>
      </c>
      <c r="C156" s="7" t="s">
        <v>329</v>
      </c>
      <c r="D156" s="7" t="s">
        <v>225</v>
      </c>
      <c r="E156" s="7" t="s">
        <v>333</v>
      </c>
      <c r="F156" s="7" t="s">
        <v>580</v>
      </c>
      <c r="H156" s="13">
        <v>44876</v>
      </c>
      <c r="I156" s="7">
        <f t="shared" si="2"/>
        <v>11</v>
      </c>
      <c r="J156" s="7">
        <f>YEAR(Tableau36[[#This Row],[Date]])</f>
        <v>2022</v>
      </c>
      <c r="K156" s="8">
        <v>2640.01</v>
      </c>
    </row>
    <row r="157" spans="2:11" hidden="1" x14ac:dyDescent="0.25">
      <c r="B157" s="7" t="s">
        <v>160</v>
      </c>
      <c r="C157" s="7" t="s">
        <v>162</v>
      </c>
      <c r="D157" s="7" t="s">
        <v>399</v>
      </c>
      <c r="E157" s="7" t="s">
        <v>127</v>
      </c>
      <c r="H157" s="13">
        <v>44849</v>
      </c>
      <c r="I157" s="7">
        <f t="shared" si="2"/>
        <v>10</v>
      </c>
      <c r="J157" s="7">
        <f>YEAR(Tableau36[[#This Row],[Date]])</f>
        <v>2022</v>
      </c>
      <c r="K157" s="8">
        <v>200</v>
      </c>
    </row>
    <row r="158" spans="2:11" hidden="1" x14ac:dyDescent="0.25">
      <c r="B158" s="7" t="s">
        <v>156</v>
      </c>
      <c r="C158" s="7" t="s">
        <v>275</v>
      </c>
      <c r="D158" s="7" t="s">
        <v>400</v>
      </c>
      <c r="E158" s="7" t="s">
        <v>127</v>
      </c>
      <c r="H158" s="13">
        <v>44853</v>
      </c>
      <c r="I158" s="7">
        <f t="shared" si="2"/>
        <v>10</v>
      </c>
      <c r="J158" s="7">
        <f>YEAR(Tableau36[[#This Row],[Date]])</f>
        <v>2022</v>
      </c>
      <c r="K158" s="8">
        <v>140</v>
      </c>
    </row>
    <row r="159" spans="2:11" hidden="1" x14ac:dyDescent="0.25">
      <c r="B159" s="7" t="s">
        <v>156</v>
      </c>
      <c r="C159" s="7" t="s">
        <v>275</v>
      </c>
      <c r="D159" s="7" t="s">
        <v>401</v>
      </c>
      <c r="E159" s="7" t="s">
        <v>127</v>
      </c>
      <c r="H159" s="13">
        <v>44854</v>
      </c>
      <c r="I159" s="7">
        <f t="shared" si="2"/>
        <v>10</v>
      </c>
      <c r="J159" s="7">
        <f>YEAR(Tableau36[[#This Row],[Date]])</f>
        <v>2022</v>
      </c>
      <c r="K159" s="8">
        <v>10</v>
      </c>
    </row>
    <row r="160" spans="2:11" hidden="1" x14ac:dyDescent="0.25">
      <c r="B160" s="7" t="s">
        <v>160</v>
      </c>
      <c r="C160" s="7" t="s">
        <v>161</v>
      </c>
      <c r="D160" s="7" t="s">
        <v>293</v>
      </c>
      <c r="E160" s="39" t="s">
        <v>127</v>
      </c>
      <c r="F160" s="88"/>
      <c r="H160" s="13">
        <v>44859</v>
      </c>
      <c r="I160" s="7">
        <f t="shared" si="2"/>
        <v>10</v>
      </c>
      <c r="J160" s="7">
        <f>YEAR(Tableau36[[#This Row],[Date]])</f>
        <v>2022</v>
      </c>
      <c r="K160" s="40">
        <v>50</v>
      </c>
    </row>
    <row r="161" spans="2:11" hidden="1" x14ac:dyDescent="0.25">
      <c r="B161" s="7" t="s">
        <v>156</v>
      </c>
      <c r="C161" s="7" t="s">
        <v>275</v>
      </c>
      <c r="D161" s="7" t="s">
        <v>402</v>
      </c>
      <c r="E161" s="41" t="s">
        <v>127</v>
      </c>
      <c r="F161" s="89"/>
      <c r="H161" s="13">
        <v>44859</v>
      </c>
      <c r="I161" s="7">
        <f t="shared" si="2"/>
        <v>10</v>
      </c>
      <c r="J161" s="7">
        <f>YEAR(Tableau36[[#This Row],[Date]])</f>
        <v>2022</v>
      </c>
      <c r="K161" s="40">
        <v>48</v>
      </c>
    </row>
    <row r="162" spans="2:11" x14ac:dyDescent="0.25">
      <c r="B162" s="7" t="s">
        <v>269</v>
      </c>
      <c r="C162" s="7" t="s">
        <v>164</v>
      </c>
      <c r="D162" s="7" t="s">
        <v>403</v>
      </c>
      <c r="E162" s="39" t="s">
        <v>128</v>
      </c>
      <c r="F162" s="88" t="s">
        <v>581</v>
      </c>
      <c r="G162" s="7" t="s">
        <v>404</v>
      </c>
      <c r="H162" s="13">
        <v>44862</v>
      </c>
      <c r="I162" s="7">
        <f t="shared" si="2"/>
        <v>10</v>
      </c>
      <c r="J162" s="7">
        <f>YEAR(Tableau36[[#This Row],[Date]])</f>
        <v>2022</v>
      </c>
      <c r="K162" s="40">
        <v>21960</v>
      </c>
    </row>
    <row r="163" spans="2:11" hidden="1" x14ac:dyDescent="0.25">
      <c r="B163" s="7" t="s">
        <v>269</v>
      </c>
      <c r="C163" s="7" t="s">
        <v>164</v>
      </c>
      <c r="D163" s="7" t="s">
        <v>405</v>
      </c>
      <c r="E163" s="41" t="s">
        <v>127</v>
      </c>
      <c r="F163" s="89"/>
      <c r="H163" s="13">
        <v>44862</v>
      </c>
      <c r="I163" s="7">
        <f t="shared" si="2"/>
        <v>10</v>
      </c>
      <c r="J163" s="7">
        <f>YEAR(Tableau36[[#This Row],[Date]])</f>
        <v>2022</v>
      </c>
      <c r="K163" s="40">
        <v>300</v>
      </c>
    </row>
    <row r="164" spans="2:11" hidden="1" x14ac:dyDescent="0.25">
      <c r="B164" s="7" t="s">
        <v>384</v>
      </c>
      <c r="C164" s="7" t="s">
        <v>152</v>
      </c>
      <c r="D164" s="7" t="s">
        <v>347</v>
      </c>
      <c r="E164" s="39" t="s">
        <v>127</v>
      </c>
      <c r="F164" s="88"/>
      <c r="H164" s="13">
        <v>44864</v>
      </c>
      <c r="I164" s="7">
        <f t="shared" si="2"/>
        <v>10</v>
      </c>
      <c r="J164" s="7">
        <f>YEAR(Tableau36[[#This Row],[Date]])</f>
        <v>2022</v>
      </c>
      <c r="K164" s="40">
        <v>4565</v>
      </c>
    </row>
    <row r="165" spans="2:11" hidden="1" x14ac:dyDescent="0.25">
      <c r="B165" s="7" t="s">
        <v>156</v>
      </c>
      <c r="C165" s="7" t="s">
        <v>275</v>
      </c>
      <c r="D165" s="7" t="s">
        <v>406</v>
      </c>
      <c r="E165" s="41" t="s">
        <v>127</v>
      </c>
      <c r="F165" s="89"/>
      <c r="H165" s="13">
        <v>44867</v>
      </c>
      <c r="I165" s="7">
        <f t="shared" si="2"/>
        <v>11</v>
      </c>
      <c r="J165" s="7">
        <f>YEAR(Tableau36[[#This Row],[Date]])</f>
        <v>2022</v>
      </c>
      <c r="K165" s="40">
        <v>110</v>
      </c>
    </row>
    <row r="166" spans="2:11" hidden="1" x14ac:dyDescent="0.25">
      <c r="B166" s="7" t="s">
        <v>155</v>
      </c>
      <c r="C166" s="7" t="s">
        <v>136</v>
      </c>
      <c r="D166" s="7" t="s">
        <v>407</v>
      </c>
      <c r="E166" s="39" t="s">
        <v>128</v>
      </c>
      <c r="F166" s="88" t="s">
        <v>580</v>
      </c>
      <c r="G166" s="7" t="s">
        <v>408</v>
      </c>
      <c r="H166" s="13">
        <v>44868</v>
      </c>
      <c r="I166" s="7">
        <f t="shared" si="2"/>
        <v>11</v>
      </c>
      <c r="J166" s="7">
        <f>YEAR(Tableau36[[#This Row],[Date]])</f>
        <v>2022</v>
      </c>
      <c r="K166" s="40">
        <v>950.98</v>
      </c>
    </row>
    <row r="167" spans="2:11" hidden="1" x14ac:dyDescent="0.25">
      <c r="B167" s="7" t="s">
        <v>269</v>
      </c>
      <c r="C167" s="7" t="s">
        <v>275</v>
      </c>
      <c r="D167" s="7" t="s">
        <v>409</v>
      </c>
      <c r="E167" s="7" t="s">
        <v>127</v>
      </c>
      <c r="H167" s="13">
        <v>44867</v>
      </c>
      <c r="I167" s="7">
        <f t="shared" si="2"/>
        <v>11</v>
      </c>
      <c r="J167" s="7">
        <f>YEAR(Tableau36[[#This Row],[Date]])</f>
        <v>2022</v>
      </c>
      <c r="K167" s="8">
        <v>600</v>
      </c>
    </row>
    <row r="168" spans="2:11" hidden="1" x14ac:dyDescent="0.25">
      <c r="B168" s="7" t="s">
        <v>156</v>
      </c>
      <c r="C168" s="7" t="s">
        <v>157</v>
      </c>
      <c r="D168" s="7" t="s">
        <v>337</v>
      </c>
      <c r="E168" s="7" t="s">
        <v>127</v>
      </c>
      <c r="H168" s="13">
        <v>44872</v>
      </c>
      <c r="I168" s="7">
        <f t="shared" si="2"/>
        <v>11</v>
      </c>
      <c r="J168" s="7">
        <f>YEAR(Tableau36[[#This Row],[Date]])</f>
        <v>2022</v>
      </c>
      <c r="K168" s="8">
        <v>95</v>
      </c>
    </row>
    <row r="169" spans="2:11" hidden="1" x14ac:dyDescent="0.25">
      <c r="B169" s="7" t="s">
        <v>155</v>
      </c>
      <c r="C169" s="7" t="s">
        <v>137</v>
      </c>
      <c r="D169" s="7" t="s">
        <v>410</v>
      </c>
      <c r="E169" s="7" t="s">
        <v>333</v>
      </c>
      <c r="F169" s="7" t="s">
        <v>580</v>
      </c>
      <c r="H169" s="13">
        <v>44877</v>
      </c>
      <c r="I169" s="7">
        <f t="shared" si="2"/>
        <v>11</v>
      </c>
      <c r="J169" s="7">
        <f>YEAR(Tableau36[[#This Row],[Date]])</f>
        <v>2022</v>
      </c>
      <c r="K169" s="8">
        <v>199</v>
      </c>
    </row>
    <row r="170" spans="2:11" hidden="1" x14ac:dyDescent="0.25">
      <c r="B170" s="7" t="s">
        <v>384</v>
      </c>
      <c r="C170" s="7" t="s">
        <v>152</v>
      </c>
      <c r="D170" s="7" t="s">
        <v>398</v>
      </c>
      <c r="E170" s="7" t="s">
        <v>127</v>
      </c>
      <c r="H170" s="13">
        <v>44880</v>
      </c>
      <c r="I170" s="7">
        <f t="shared" si="2"/>
        <v>11</v>
      </c>
      <c r="J170" s="7">
        <f>YEAR(Tableau36[[#This Row],[Date]])</f>
        <v>2022</v>
      </c>
      <c r="K170" s="8">
        <v>4565</v>
      </c>
    </row>
    <row r="171" spans="2:11" hidden="1" x14ac:dyDescent="0.25">
      <c r="B171" s="7" t="s">
        <v>160</v>
      </c>
      <c r="C171" s="7" t="s">
        <v>161</v>
      </c>
      <c r="D171" s="7" t="s">
        <v>293</v>
      </c>
      <c r="E171" s="7" t="s">
        <v>127</v>
      </c>
      <c r="H171" s="13">
        <v>44886</v>
      </c>
      <c r="I171" s="7">
        <f t="shared" si="2"/>
        <v>11</v>
      </c>
      <c r="J171" s="7">
        <f>YEAR(Tableau36[[#This Row],[Date]])</f>
        <v>2022</v>
      </c>
      <c r="K171" s="8">
        <v>80</v>
      </c>
    </row>
    <row r="172" spans="2:11" hidden="1" x14ac:dyDescent="0.25">
      <c r="B172" s="7" t="s">
        <v>384</v>
      </c>
      <c r="C172" s="7" t="s">
        <v>152</v>
      </c>
      <c r="D172" s="7" t="s">
        <v>347</v>
      </c>
      <c r="E172" s="7" t="s">
        <v>127</v>
      </c>
      <c r="H172" s="13">
        <v>44895</v>
      </c>
      <c r="I172" s="7">
        <f t="shared" si="2"/>
        <v>11</v>
      </c>
      <c r="J172" s="7">
        <f>YEAR(Tableau36[[#This Row],[Date]])</f>
        <v>2022</v>
      </c>
      <c r="K172" s="8">
        <v>4565</v>
      </c>
    </row>
    <row r="173" spans="2:11" hidden="1" x14ac:dyDescent="0.25">
      <c r="B173" s="7" t="s">
        <v>384</v>
      </c>
      <c r="C173" s="7" t="s">
        <v>329</v>
      </c>
      <c r="D173" s="7" t="s">
        <v>227</v>
      </c>
      <c r="E173" s="7" t="s">
        <v>333</v>
      </c>
      <c r="F173" s="7" t="s">
        <v>580</v>
      </c>
      <c r="H173" s="13">
        <v>44906</v>
      </c>
      <c r="I173" s="7">
        <f t="shared" si="2"/>
        <v>12</v>
      </c>
      <c r="J173" s="7">
        <f>YEAR(Tableau36[[#This Row],[Date]])</f>
        <v>2022</v>
      </c>
      <c r="K173" s="8">
        <v>2640.01</v>
      </c>
    </row>
    <row r="174" spans="2:11" hidden="1" x14ac:dyDescent="0.25">
      <c r="B174" s="7" t="s">
        <v>155</v>
      </c>
      <c r="C174" s="7" t="s">
        <v>136</v>
      </c>
      <c r="D174" s="7" t="s">
        <v>422</v>
      </c>
      <c r="E174" s="7" t="s">
        <v>128</v>
      </c>
      <c r="F174" s="88" t="s">
        <v>580</v>
      </c>
      <c r="G174" s="7" t="s">
        <v>411</v>
      </c>
      <c r="H174" s="13">
        <v>44896</v>
      </c>
      <c r="I174" s="7">
        <f t="shared" si="2"/>
        <v>12</v>
      </c>
      <c r="J174" s="7">
        <f>YEAR(Tableau36[[#This Row],[Date]])</f>
        <v>2022</v>
      </c>
      <c r="K174" s="8">
        <v>891.4</v>
      </c>
    </row>
    <row r="175" spans="2:11" hidden="1" x14ac:dyDescent="0.25">
      <c r="B175" s="7" t="s">
        <v>156</v>
      </c>
      <c r="C175" s="7" t="s">
        <v>158</v>
      </c>
      <c r="D175" s="7" t="s">
        <v>412</v>
      </c>
      <c r="E175" s="7" t="s">
        <v>127</v>
      </c>
      <c r="H175" s="13">
        <v>44898</v>
      </c>
      <c r="I175" s="7">
        <f t="shared" si="2"/>
        <v>12</v>
      </c>
      <c r="J175" s="7">
        <f>YEAR(Tableau36[[#This Row],[Date]])</f>
        <v>2022</v>
      </c>
      <c r="K175" s="8">
        <v>800</v>
      </c>
    </row>
    <row r="176" spans="2:11" hidden="1" x14ac:dyDescent="0.25">
      <c r="B176" s="7" t="s">
        <v>155</v>
      </c>
      <c r="C176" s="7" t="s">
        <v>137</v>
      </c>
      <c r="D176" s="7" t="s">
        <v>413</v>
      </c>
      <c r="E176" s="7" t="s">
        <v>333</v>
      </c>
      <c r="F176" s="7" t="s">
        <v>580</v>
      </c>
      <c r="H176" s="13">
        <v>44900</v>
      </c>
      <c r="I176" s="7">
        <f t="shared" si="2"/>
        <v>12</v>
      </c>
      <c r="J176" s="7">
        <f>YEAR(Tableau36[[#This Row],[Date]])</f>
        <v>2022</v>
      </c>
      <c r="K176" s="8">
        <v>199</v>
      </c>
    </row>
    <row r="177" spans="2:12" hidden="1" x14ac:dyDescent="0.25">
      <c r="B177" s="7" t="s">
        <v>156</v>
      </c>
      <c r="C177" s="7" t="s">
        <v>157</v>
      </c>
      <c r="D177" s="7" t="s">
        <v>337</v>
      </c>
      <c r="E177" s="7" t="s">
        <v>127</v>
      </c>
      <c r="H177" s="13">
        <v>44903</v>
      </c>
      <c r="I177" s="7">
        <f t="shared" si="2"/>
        <v>12</v>
      </c>
      <c r="J177" s="7">
        <f>YEAR(Tableau36[[#This Row],[Date]])</f>
        <v>2022</v>
      </c>
      <c r="K177" s="8">
        <v>95</v>
      </c>
    </row>
    <row r="178" spans="2:12" hidden="1" x14ac:dyDescent="0.25">
      <c r="B178" s="7" t="s">
        <v>156</v>
      </c>
      <c r="C178" s="7" t="s">
        <v>275</v>
      </c>
      <c r="D178" s="7" t="s">
        <v>414</v>
      </c>
      <c r="E178" s="7" t="s">
        <v>127</v>
      </c>
      <c r="H178" s="13">
        <v>44906</v>
      </c>
      <c r="I178" s="7">
        <f t="shared" si="2"/>
        <v>12</v>
      </c>
      <c r="J178" s="7">
        <f>YEAR(Tableau36[[#This Row],[Date]])</f>
        <v>2022</v>
      </c>
      <c r="K178" s="8">
        <v>169</v>
      </c>
    </row>
    <row r="179" spans="2:12" hidden="1" x14ac:dyDescent="0.25">
      <c r="B179" s="7" t="s">
        <v>156</v>
      </c>
      <c r="C179" s="7" t="s">
        <v>159</v>
      </c>
      <c r="D179" s="7" t="s">
        <v>415</v>
      </c>
      <c r="E179" s="7" t="s">
        <v>127</v>
      </c>
      <c r="H179" s="13">
        <v>44906</v>
      </c>
      <c r="I179" s="7">
        <f t="shared" si="2"/>
        <v>12</v>
      </c>
      <c r="J179" s="7">
        <f>YEAR(Tableau36[[#This Row],[Date]])</f>
        <v>2022</v>
      </c>
      <c r="K179" s="8">
        <v>250</v>
      </c>
    </row>
    <row r="180" spans="2:12" hidden="1" x14ac:dyDescent="0.25">
      <c r="B180" s="7" t="s">
        <v>156</v>
      </c>
      <c r="C180" s="7" t="s">
        <v>275</v>
      </c>
      <c r="D180" s="7" t="s">
        <v>416</v>
      </c>
      <c r="E180" s="7" t="s">
        <v>127</v>
      </c>
      <c r="H180" s="13">
        <v>44908</v>
      </c>
      <c r="I180" s="7">
        <f t="shared" si="2"/>
        <v>12</v>
      </c>
      <c r="J180" s="7">
        <f>YEAR(Tableau36[[#This Row],[Date]])</f>
        <v>2022</v>
      </c>
      <c r="K180" s="8">
        <v>750</v>
      </c>
    </row>
    <row r="181" spans="2:12" hidden="1" x14ac:dyDescent="0.25">
      <c r="B181" s="7" t="s">
        <v>156</v>
      </c>
      <c r="C181" s="7" t="s">
        <v>275</v>
      </c>
      <c r="D181" s="7" t="s">
        <v>417</v>
      </c>
      <c r="E181" s="7" t="s">
        <v>127</v>
      </c>
      <c r="H181" s="13">
        <v>44908</v>
      </c>
      <c r="I181" s="7">
        <f t="shared" si="2"/>
        <v>12</v>
      </c>
      <c r="J181" s="7">
        <f>YEAR(Tableau36[[#This Row],[Date]])</f>
        <v>2022</v>
      </c>
      <c r="K181" s="8">
        <v>606</v>
      </c>
    </row>
    <row r="182" spans="2:12" hidden="1" x14ac:dyDescent="0.25">
      <c r="B182" s="7" t="s">
        <v>384</v>
      </c>
      <c r="C182" s="7" t="s">
        <v>152</v>
      </c>
      <c r="D182" s="7" t="s">
        <v>398</v>
      </c>
      <c r="E182" s="7" t="s">
        <v>127</v>
      </c>
      <c r="H182" s="13">
        <v>44910</v>
      </c>
      <c r="I182" s="7">
        <f t="shared" si="2"/>
        <v>12</v>
      </c>
      <c r="J182" s="7">
        <f>YEAR(Tableau36[[#This Row],[Date]])</f>
        <v>2022</v>
      </c>
      <c r="K182" s="8">
        <v>4565</v>
      </c>
    </row>
    <row r="183" spans="2:12" hidden="1" x14ac:dyDescent="0.25">
      <c r="B183" s="7" t="s">
        <v>156</v>
      </c>
      <c r="C183" s="7" t="s">
        <v>275</v>
      </c>
      <c r="D183" s="7" t="s">
        <v>418</v>
      </c>
      <c r="E183" s="7" t="s">
        <v>127</v>
      </c>
      <c r="H183" s="13">
        <v>44914</v>
      </c>
      <c r="I183" s="7">
        <f t="shared" si="2"/>
        <v>12</v>
      </c>
      <c r="J183" s="7">
        <f>YEAR(Tableau36[[#This Row],[Date]])</f>
        <v>2022</v>
      </c>
      <c r="K183" s="8">
        <v>10</v>
      </c>
    </row>
    <row r="184" spans="2:12" hidden="1" x14ac:dyDescent="0.25">
      <c r="B184" s="7" t="s">
        <v>156</v>
      </c>
      <c r="C184" s="7" t="s">
        <v>275</v>
      </c>
      <c r="D184" s="7" t="s">
        <v>342</v>
      </c>
      <c r="E184" s="7" t="s">
        <v>127</v>
      </c>
      <c r="H184" s="13">
        <v>44914</v>
      </c>
      <c r="I184" s="7">
        <f t="shared" si="2"/>
        <v>12</v>
      </c>
      <c r="J184" s="7">
        <f>YEAR(Tableau36[[#This Row],[Date]])</f>
        <v>2022</v>
      </c>
      <c r="K184" s="8">
        <v>15</v>
      </c>
    </row>
    <row r="185" spans="2:12" hidden="1" x14ac:dyDescent="0.25">
      <c r="B185" s="7" t="s">
        <v>384</v>
      </c>
      <c r="C185" s="7" t="s">
        <v>152</v>
      </c>
      <c r="D185" s="7" t="s">
        <v>347</v>
      </c>
      <c r="E185" s="7" t="s">
        <v>127</v>
      </c>
      <c r="H185" s="13">
        <v>44925</v>
      </c>
      <c r="I185" s="7">
        <f t="shared" si="2"/>
        <v>12</v>
      </c>
      <c r="J185" s="7">
        <f>YEAR(Tableau36[[#This Row],[Date]])</f>
        <v>2022</v>
      </c>
      <c r="K185" s="7">
        <v>4565</v>
      </c>
    </row>
    <row r="186" spans="2:12" hidden="1" x14ac:dyDescent="0.25">
      <c r="B186" s="7" t="s">
        <v>384</v>
      </c>
      <c r="C186" s="7" t="s">
        <v>329</v>
      </c>
      <c r="D186" s="7" t="s">
        <v>274</v>
      </c>
      <c r="E186" s="7" t="s">
        <v>333</v>
      </c>
      <c r="F186" s="7" t="s">
        <v>580</v>
      </c>
      <c r="H186" s="13">
        <v>44937</v>
      </c>
      <c r="I186" s="7">
        <f t="shared" si="2"/>
        <v>1</v>
      </c>
      <c r="J186" s="7">
        <f>YEAR(Tableau36[[#This Row],[Date]])</f>
        <v>2023</v>
      </c>
      <c r="K186" s="7">
        <v>2640.01</v>
      </c>
    </row>
    <row r="187" spans="2:12" hidden="1" x14ac:dyDescent="0.25">
      <c r="B187" s="7" t="s">
        <v>269</v>
      </c>
      <c r="C187" s="7" t="s">
        <v>419</v>
      </c>
      <c r="D187" s="7" t="s">
        <v>420</v>
      </c>
      <c r="E187" s="7" t="s">
        <v>127</v>
      </c>
      <c r="H187" s="13">
        <v>44927</v>
      </c>
      <c r="I187" s="7">
        <f t="shared" si="2"/>
        <v>1</v>
      </c>
      <c r="J187" s="7">
        <f>YEAR(Tableau36[[#This Row],[Date]])</f>
        <v>2023</v>
      </c>
      <c r="K187" s="42">
        <v>600</v>
      </c>
      <c r="L187" s="42"/>
    </row>
    <row r="188" spans="2:12" hidden="1" x14ac:dyDescent="0.25">
      <c r="B188" s="7" t="s">
        <v>155</v>
      </c>
      <c r="C188" s="7" t="s">
        <v>136</v>
      </c>
      <c r="D188" s="7" t="s">
        <v>423</v>
      </c>
      <c r="E188" s="7" t="s">
        <v>128</v>
      </c>
      <c r="F188" s="88" t="s">
        <v>580</v>
      </c>
      <c r="G188" s="7" t="s">
        <v>421</v>
      </c>
      <c r="H188" s="13">
        <v>44928</v>
      </c>
      <c r="I188" s="7">
        <f t="shared" si="2"/>
        <v>1</v>
      </c>
      <c r="J188" s="7">
        <f>YEAR(Tableau36[[#This Row],[Date]])</f>
        <v>2023</v>
      </c>
      <c r="K188" s="42">
        <v>754.26</v>
      </c>
      <c r="L188" s="42"/>
    </row>
    <row r="189" spans="2:12" hidden="1" x14ac:dyDescent="0.25">
      <c r="B189" s="7" t="s">
        <v>155</v>
      </c>
      <c r="C189" s="7" t="s">
        <v>137</v>
      </c>
      <c r="D189" s="7" t="s">
        <v>424</v>
      </c>
      <c r="E189" s="7" t="s">
        <v>333</v>
      </c>
      <c r="F189" s="7" t="s">
        <v>580</v>
      </c>
      <c r="H189" s="13">
        <v>44933</v>
      </c>
      <c r="I189" s="7">
        <f t="shared" si="2"/>
        <v>1</v>
      </c>
      <c r="J189" s="7">
        <f>YEAR(Tableau36[[#This Row],[Date]])</f>
        <v>2023</v>
      </c>
      <c r="K189" s="42">
        <v>199</v>
      </c>
      <c r="L189" s="42"/>
    </row>
    <row r="190" spans="2:12" hidden="1" x14ac:dyDescent="0.25">
      <c r="B190" s="7" t="s">
        <v>160</v>
      </c>
      <c r="C190" s="7" t="s">
        <v>368</v>
      </c>
      <c r="D190" s="7" t="s">
        <v>425</v>
      </c>
      <c r="E190" s="7" t="s">
        <v>127</v>
      </c>
      <c r="H190" s="13">
        <v>44933</v>
      </c>
      <c r="I190" s="7">
        <f t="shared" si="2"/>
        <v>1</v>
      </c>
      <c r="J190" s="7">
        <f>YEAR(Tableau36[[#This Row],[Date]])</f>
        <v>2023</v>
      </c>
      <c r="K190" s="42">
        <v>503</v>
      </c>
      <c r="L190" s="42"/>
    </row>
    <row r="191" spans="2:12" hidden="1" x14ac:dyDescent="0.25">
      <c r="B191" s="7" t="s">
        <v>156</v>
      </c>
      <c r="C191" s="7" t="s">
        <v>158</v>
      </c>
      <c r="D191" s="7" t="s">
        <v>426</v>
      </c>
      <c r="E191" s="7" t="s">
        <v>127</v>
      </c>
      <c r="H191" s="13">
        <v>44936</v>
      </c>
      <c r="I191" s="7">
        <f t="shared" si="2"/>
        <v>1</v>
      </c>
      <c r="J191" s="7">
        <f>YEAR(Tableau36[[#This Row],[Date]])</f>
        <v>2023</v>
      </c>
      <c r="K191" s="42">
        <v>400</v>
      </c>
      <c r="L191" s="42"/>
    </row>
    <row r="192" spans="2:12" hidden="1" x14ac:dyDescent="0.25">
      <c r="B192" s="7" t="s">
        <v>156</v>
      </c>
      <c r="C192" s="7" t="s">
        <v>275</v>
      </c>
      <c r="D192" s="7" t="s">
        <v>427</v>
      </c>
      <c r="E192" s="7" t="s">
        <v>127</v>
      </c>
      <c r="H192" s="13">
        <v>45210</v>
      </c>
      <c r="I192" s="7">
        <f t="shared" si="2"/>
        <v>10</v>
      </c>
      <c r="J192" s="7">
        <f>YEAR(Tableau36[[#This Row],[Date]])</f>
        <v>2023</v>
      </c>
      <c r="K192" s="42">
        <v>380</v>
      </c>
      <c r="L192" s="42"/>
    </row>
    <row r="193" spans="2:12" hidden="1" x14ac:dyDescent="0.25">
      <c r="B193" s="7" t="s">
        <v>156</v>
      </c>
      <c r="C193" s="7" t="s">
        <v>275</v>
      </c>
      <c r="D193" s="7" t="s">
        <v>428</v>
      </c>
      <c r="E193" s="7" t="s">
        <v>127</v>
      </c>
      <c r="H193" s="13">
        <v>44939</v>
      </c>
      <c r="I193" s="7">
        <f t="shared" si="2"/>
        <v>1</v>
      </c>
      <c r="J193" s="7">
        <f>YEAR(Tableau36[[#This Row],[Date]])</f>
        <v>2023</v>
      </c>
      <c r="K193" s="42">
        <v>260</v>
      </c>
      <c r="L193" s="42"/>
    </row>
    <row r="194" spans="2:12" hidden="1" x14ac:dyDescent="0.25">
      <c r="B194" s="7" t="s">
        <v>156</v>
      </c>
      <c r="C194" s="7" t="s">
        <v>275</v>
      </c>
      <c r="D194" s="7" t="s">
        <v>429</v>
      </c>
      <c r="E194" s="7" t="s">
        <v>127</v>
      </c>
      <c r="H194" s="13">
        <v>44941</v>
      </c>
      <c r="I194" s="7">
        <f t="shared" si="2"/>
        <v>1</v>
      </c>
      <c r="J194" s="7">
        <f>YEAR(Tableau36[[#This Row],[Date]])</f>
        <v>2023</v>
      </c>
      <c r="K194" s="42">
        <v>10</v>
      </c>
      <c r="L194" s="42"/>
    </row>
    <row r="195" spans="2:12" hidden="1" x14ac:dyDescent="0.25">
      <c r="B195" s="7" t="s">
        <v>384</v>
      </c>
      <c r="C195" s="7" t="s">
        <v>152</v>
      </c>
      <c r="D195" s="7" t="s">
        <v>398</v>
      </c>
      <c r="E195" s="7" t="s">
        <v>127</v>
      </c>
      <c r="H195" s="13">
        <v>44941</v>
      </c>
      <c r="I195" s="7">
        <f t="shared" si="2"/>
        <v>1</v>
      </c>
      <c r="J195" s="7">
        <f>YEAR(Tableau36[[#This Row],[Date]])</f>
        <v>2023</v>
      </c>
      <c r="K195" s="42">
        <v>4565</v>
      </c>
      <c r="L195" s="42"/>
    </row>
    <row r="196" spans="2:12" hidden="1" x14ac:dyDescent="0.25">
      <c r="B196" s="7" t="s">
        <v>160</v>
      </c>
      <c r="C196" s="7" t="s">
        <v>161</v>
      </c>
      <c r="D196" s="7" t="s">
        <v>293</v>
      </c>
      <c r="E196" s="7" t="s">
        <v>127</v>
      </c>
      <c r="H196" s="13">
        <v>44942</v>
      </c>
      <c r="I196" s="7">
        <f t="shared" si="2"/>
        <v>1</v>
      </c>
      <c r="J196" s="7">
        <f>YEAR(Tableau36[[#This Row],[Date]])</f>
        <v>2023</v>
      </c>
      <c r="K196" s="42">
        <v>50</v>
      </c>
      <c r="L196" s="42"/>
    </row>
    <row r="197" spans="2:12" hidden="1" x14ac:dyDescent="0.25">
      <c r="B197" s="7" t="s">
        <v>156</v>
      </c>
      <c r="C197" s="7" t="s">
        <v>157</v>
      </c>
      <c r="D197" s="7" t="s">
        <v>337</v>
      </c>
      <c r="E197" s="7" t="s">
        <v>127</v>
      </c>
      <c r="H197" s="13">
        <v>44942</v>
      </c>
      <c r="I197" s="7">
        <f t="shared" si="2"/>
        <v>1</v>
      </c>
      <c r="J197" s="7">
        <f>YEAR(Tableau36[[#This Row],[Date]])</f>
        <v>2023</v>
      </c>
      <c r="K197" s="42">
        <v>95</v>
      </c>
      <c r="L197" s="42"/>
    </row>
    <row r="198" spans="2:12" hidden="1" x14ac:dyDescent="0.25">
      <c r="B198" s="7" t="s">
        <v>156</v>
      </c>
      <c r="C198" s="7" t="s">
        <v>275</v>
      </c>
      <c r="D198" s="7" t="s">
        <v>430</v>
      </c>
      <c r="E198" s="7" t="s">
        <v>127</v>
      </c>
      <c r="H198" s="13">
        <v>44949</v>
      </c>
      <c r="I198" s="7">
        <f t="shared" si="2"/>
        <v>1</v>
      </c>
      <c r="J198" s="7">
        <f>YEAR(Tableau36[[#This Row],[Date]])</f>
        <v>2023</v>
      </c>
      <c r="K198" s="42">
        <v>30</v>
      </c>
      <c r="L198" s="42"/>
    </row>
    <row r="199" spans="2:12" hidden="1" x14ac:dyDescent="0.25">
      <c r="B199" s="7" t="s">
        <v>160</v>
      </c>
      <c r="C199" s="7" t="s">
        <v>368</v>
      </c>
      <c r="D199" s="7" t="s">
        <v>431</v>
      </c>
      <c r="E199" s="7" t="s">
        <v>127</v>
      </c>
      <c r="H199" s="13">
        <v>44949</v>
      </c>
      <c r="I199" s="7">
        <f t="shared" ref="I199:I262" si="3">MONTH(H199)</f>
        <v>1</v>
      </c>
      <c r="J199" s="7">
        <f>YEAR(Tableau36[[#This Row],[Date]])</f>
        <v>2023</v>
      </c>
      <c r="K199" s="42">
        <v>150</v>
      </c>
      <c r="L199" s="42"/>
    </row>
    <row r="200" spans="2:12" hidden="1" x14ac:dyDescent="0.25">
      <c r="B200" s="7" t="s">
        <v>384</v>
      </c>
      <c r="C200" s="7" t="s">
        <v>152</v>
      </c>
      <c r="D200" s="7" t="s">
        <v>347</v>
      </c>
      <c r="E200" s="7" t="s">
        <v>127</v>
      </c>
      <c r="H200" s="13">
        <v>44956</v>
      </c>
      <c r="I200" s="7">
        <f t="shared" si="3"/>
        <v>1</v>
      </c>
      <c r="J200" s="7">
        <f>YEAR(Tableau36[[#This Row],[Date]])</f>
        <v>2023</v>
      </c>
      <c r="K200" s="42">
        <v>4565</v>
      </c>
      <c r="L200" s="42"/>
    </row>
    <row r="201" spans="2:12" hidden="1" x14ac:dyDescent="0.25">
      <c r="B201" s="7" t="s">
        <v>156</v>
      </c>
      <c r="C201" s="7" t="s">
        <v>159</v>
      </c>
      <c r="D201" s="7" t="s">
        <v>432</v>
      </c>
      <c r="E201" s="7" t="s">
        <v>127</v>
      </c>
      <c r="H201" s="13">
        <v>44957</v>
      </c>
      <c r="I201" s="7">
        <f t="shared" si="3"/>
        <v>1</v>
      </c>
      <c r="J201" s="7">
        <f>YEAR(Tableau36[[#This Row],[Date]])</f>
        <v>2023</v>
      </c>
      <c r="K201" s="42">
        <v>150</v>
      </c>
      <c r="L201" s="42"/>
    </row>
    <row r="202" spans="2:12" hidden="1" x14ac:dyDescent="0.25">
      <c r="B202" s="7" t="s">
        <v>384</v>
      </c>
      <c r="C202" s="7" t="s">
        <v>329</v>
      </c>
      <c r="D202" s="26" t="s">
        <v>271</v>
      </c>
      <c r="E202" s="7" t="s">
        <v>333</v>
      </c>
      <c r="F202" s="7" t="s">
        <v>580</v>
      </c>
      <c r="H202" s="13">
        <v>44968</v>
      </c>
      <c r="I202" s="7">
        <f t="shared" si="3"/>
        <v>2</v>
      </c>
      <c r="J202" s="7">
        <f>YEAR(Tableau36[[#This Row],[Date]])</f>
        <v>2023</v>
      </c>
      <c r="K202" s="42">
        <v>2640.01</v>
      </c>
      <c r="L202" s="42"/>
    </row>
    <row r="203" spans="2:12" hidden="1" x14ac:dyDescent="0.25">
      <c r="B203" s="7" t="s">
        <v>155</v>
      </c>
      <c r="C203" s="7" t="s">
        <v>136</v>
      </c>
      <c r="D203" s="7" t="s">
        <v>456</v>
      </c>
      <c r="E203" s="7" t="s">
        <v>128</v>
      </c>
      <c r="F203" s="88" t="s">
        <v>580</v>
      </c>
      <c r="G203" s="7" t="s">
        <v>457</v>
      </c>
      <c r="H203" s="13">
        <v>44958</v>
      </c>
      <c r="I203" s="7">
        <f t="shared" si="3"/>
        <v>2</v>
      </c>
      <c r="J203" s="7">
        <f>YEAR(Tableau36[[#This Row],[Date]])</f>
        <v>2023</v>
      </c>
      <c r="K203" s="42">
        <v>715.96</v>
      </c>
      <c r="L203" s="42"/>
    </row>
    <row r="204" spans="2:12" hidden="1" x14ac:dyDescent="0.25">
      <c r="B204" s="7" t="s">
        <v>155</v>
      </c>
      <c r="C204" s="7" t="s">
        <v>136</v>
      </c>
      <c r="D204" s="7" t="s">
        <v>458</v>
      </c>
      <c r="E204" s="7" t="s">
        <v>127</v>
      </c>
      <c r="H204" s="13">
        <v>44963</v>
      </c>
      <c r="I204" s="7">
        <f t="shared" si="3"/>
        <v>2</v>
      </c>
      <c r="J204" s="7">
        <f>YEAR(Tableau36[[#This Row],[Date]])</f>
        <v>2023</v>
      </c>
      <c r="K204" s="42">
        <v>21.5</v>
      </c>
      <c r="L204" s="42"/>
    </row>
    <row r="205" spans="2:12" hidden="1" x14ac:dyDescent="0.25">
      <c r="B205" s="7" t="s">
        <v>156</v>
      </c>
      <c r="C205" s="7" t="s">
        <v>158</v>
      </c>
      <c r="D205" s="7" t="s">
        <v>459</v>
      </c>
      <c r="E205" s="7" t="s">
        <v>127</v>
      </c>
      <c r="H205" s="13">
        <v>44963</v>
      </c>
      <c r="I205" s="7">
        <f t="shared" si="3"/>
        <v>2</v>
      </c>
      <c r="J205" s="7">
        <f>YEAR(Tableau36[[#This Row],[Date]])</f>
        <v>2023</v>
      </c>
      <c r="K205" s="42">
        <v>700</v>
      </c>
      <c r="L205" s="42"/>
    </row>
    <row r="206" spans="2:12" hidden="1" x14ac:dyDescent="0.25">
      <c r="B206" s="7" t="s">
        <v>156</v>
      </c>
      <c r="C206" s="7" t="s">
        <v>158</v>
      </c>
      <c r="D206" s="7" t="s">
        <v>460</v>
      </c>
      <c r="E206" s="7" t="s">
        <v>127</v>
      </c>
      <c r="H206" s="13">
        <v>44963</v>
      </c>
      <c r="I206" s="7">
        <f t="shared" si="3"/>
        <v>2</v>
      </c>
      <c r="J206" s="7">
        <f>YEAR(Tableau36[[#This Row],[Date]])</f>
        <v>2023</v>
      </c>
      <c r="K206" s="42">
        <v>100</v>
      </c>
      <c r="L206" s="42"/>
    </row>
    <row r="207" spans="2:12" hidden="1" x14ac:dyDescent="0.25">
      <c r="B207" s="7" t="s">
        <v>160</v>
      </c>
      <c r="C207" s="7" t="s">
        <v>391</v>
      </c>
      <c r="D207" s="7" t="s">
        <v>462</v>
      </c>
      <c r="E207" s="7" t="s">
        <v>127</v>
      </c>
      <c r="H207" s="13">
        <v>44964</v>
      </c>
      <c r="I207" s="7">
        <f t="shared" si="3"/>
        <v>2</v>
      </c>
      <c r="J207" s="7">
        <f>YEAR(Tableau36[[#This Row],[Date]])</f>
        <v>2023</v>
      </c>
      <c r="K207" s="42">
        <v>100</v>
      </c>
      <c r="L207" s="42"/>
    </row>
    <row r="208" spans="2:12" hidden="1" x14ac:dyDescent="0.25">
      <c r="B208" s="7" t="s">
        <v>155</v>
      </c>
      <c r="C208" s="7" t="s">
        <v>137</v>
      </c>
      <c r="D208" s="7" t="s">
        <v>461</v>
      </c>
      <c r="E208" s="7" t="s">
        <v>333</v>
      </c>
      <c r="F208" s="7" t="s">
        <v>580</v>
      </c>
      <c r="H208" s="13">
        <v>44966</v>
      </c>
      <c r="I208" s="7">
        <f t="shared" si="3"/>
        <v>2</v>
      </c>
      <c r="J208" s="7">
        <f>YEAR(Tableau36[[#This Row],[Date]])</f>
        <v>2023</v>
      </c>
      <c r="K208" s="42">
        <v>199</v>
      </c>
      <c r="L208" s="42"/>
    </row>
    <row r="209" spans="2:12" hidden="1" x14ac:dyDescent="0.25">
      <c r="B209" s="7" t="s">
        <v>160</v>
      </c>
      <c r="C209" s="7" t="s">
        <v>161</v>
      </c>
      <c r="D209" s="7" t="s">
        <v>293</v>
      </c>
      <c r="E209" s="7" t="s">
        <v>127</v>
      </c>
      <c r="H209" s="13">
        <v>44967</v>
      </c>
      <c r="I209" s="7">
        <f t="shared" si="3"/>
        <v>2</v>
      </c>
      <c r="J209" s="7">
        <f>YEAR(Tableau36[[#This Row],[Date]])</f>
        <v>2023</v>
      </c>
      <c r="K209" s="42">
        <v>50</v>
      </c>
      <c r="L209" s="42"/>
    </row>
    <row r="210" spans="2:12" hidden="1" x14ac:dyDescent="0.25">
      <c r="B210" s="7" t="s">
        <v>160</v>
      </c>
      <c r="C210" s="7" t="s">
        <v>368</v>
      </c>
      <c r="D210" s="7" t="s">
        <v>463</v>
      </c>
      <c r="E210" s="7" t="s">
        <v>127</v>
      </c>
      <c r="H210" s="13">
        <v>44969</v>
      </c>
      <c r="I210" s="7">
        <f t="shared" si="3"/>
        <v>2</v>
      </c>
      <c r="J210" s="7">
        <f>YEAR(Tableau36[[#This Row],[Date]])</f>
        <v>2023</v>
      </c>
      <c r="K210" s="42">
        <v>429</v>
      </c>
    </row>
    <row r="211" spans="2:12" hidden="1" x14ac:dyDescent="0.25">
      <c r="B211" s="7" t="s">
        <v>156</v>
      </c>
      <c r="C211" s="7" t="s">
        <v>275</v>
      </c>
      <c r="D211" s="7" t="s">
        <v>464</v>
      </c>
      <c r="E211" s="7" t="s">
        <v>127</v>
      </c>
      <c r="H211" s="13">
        <v>44971</v>
      </c>
      <c r="I211" s="7">
        <f t="shared" si="3"/>
        <v>2</v>
      </c>
      <c r="J211" s="7">
        <f>YEAR(Tableau36[[#This Row],[Date]])</f>
        <v>2023</v>
      </c>
      <c r="K211" s="42">
        <v>200</v>
      </c>
    </row>
    <row r="212" spans="2:12" hidden="1" x14ac:dyDescent="0.25">
      <c r="B212" s="7" t="s">
        <v>156</v>
      </c>
      <c r="C212" s="7" t="s">
        <v>275</v>
      </c>
      <c r="D212" s="7" t="s">
        <v>345</v>
      </c>
      <c r="E212" s="7" t="s">
        <v>127</v>
      </c>
      <c r="H212" s="13">
        <v>44972</v>
      </c>
      <c r="I212" s="7">
        <f t="shared" si="3"/>
        <v>2</v>
      </c>
      <c r="J212" s="7">
        <f>YEAR(Tableau36[[#This Row],[Date]])</f>
        <v>2023</v>
      </c>
      <c r="K212" s="42">
        <v>180</v>
      </c>
    </row>
    <row r="213" spans="2:12" hidden="1" x14ac:dyDescent="0.25">
      <c r="B213" s="7" t="s">
        <v>156</v>
      </c>
      <c r="C213" s="7" t="s">
        <v>275</v>
      </c>
      <c r="D213" s="7" t="s">
        <v>284</v>
      </c>
      <c r="E213" s="7" t="s">
        <v>127</v>
      </c>
      <c r="H213" s="13">
        <v>44972</v>
      </c>
      <c r="I213" s="7">
        <f t="shared" si="3"/>
        <v>2</v>
      </c>
      <c r="J213" s="7">
        <f>YEAR(Tableau36[[#This Row],[Date]])</f>
        <v>2023</v>
      </c>
      <c r="K213" s="42">
        <v>21</v>
      </c>
    </row>
    <row r="214" spans="2:12" hidden="1" x14ac:dyDescent="0.25">
      <c r="B214" s="7" t="s">
        <v>384</v>
      </c>
      <c r="C214" s="7" t="s">
        <v>152</v>
      </c>
      <c r="D214" s="7" t="s">
        <v>465</v>
      </c>
      <c r="E214" s="7" t="s">
        <v>127</v>
      </c>
      <c r="H214" s="13">
        <v>44972</v>
      </c>
      <c r="I214" s="7">
        <f t="shared" si="3"/>
        <v>2</v>
      </c>
      <c r="J214" s="7">
        <f>YEAR(Tableau36[[#This Row],[Date]])</f>
        <v>2023</v>
      </c>
      <c r="K214" s="42">
        <v>4565</v>
      </c>
    </row>
    <row r="215" spans="2:12" hidden="1" x14ac:dyDescent="0.25">
      <c r="B215" s="7" t="s">
        <v>156</v>
      </c>
      <c r="C215" s="7" t="s">
        <v>275</v>
      </c>
      <c r="D215" s="7" t="s">
        <v>466</v>
      </c>
      <c r="E215" s="7" t="s">
        <v>127</v>
      </c>
      <c r="H215" s="13">
        <v>44973</v>
      </c>
      <c r="I215" s="7">
        <f t="shared" si="3"/>
        <v>2</v>
      </c>
      <c r="J215" s="7">
        <f>YEAR(Tableau36[[#This Row],[Date]])</f>
        <v>2023</v>
      </c>
      <c r="K215" s="42">
        <v>19</v>
      </c>
    </row>
    <row r="216" spans="2:12" hidden="1" x14ac:dyDescent="0.25">
      <c r="B216" s="7" t="s">
        <v>156</v>
      </c>
      <c r="C216" s="7" t="s">
        <v>157</v>
      </c>
      <c r="D216" s="7" t="s">
        <v>337</v>
      </c>
      <c r="E216" s="7" t="s">
        <v>127</v>
      </c>
      <c r="H216" s="13">
        <v>44974</v>
      </c>
      <c r="I216" s="7">
        <f t="shared" si="3"/>
        <v>2</v>
      </c>
      <c r="J216" s="7">
        <f>YEAR(Tableau36[[#This Row],[Date]])</f>
        <v>2023</v>
      </c>
      <c r="K216" s="42">
        <v>95</v>
      </c>
    </row>
    <row r="217" spans="2:12" hidden="1" x14ac:dyDescent="0.25">
      <c r="B217" s="7" t="s">
        <v>156</v>
      </c>
      <c r="C217" s="7" t="s">
        <v>275</v>
      </c>
      <c r="D217" s="7" t="s">
        <v>467</v>
      </c>
      <c r="E217" s="7" t="s">
        <v>127</v>
      </c>
      <c r="H217" s="13">
        <v>44974</v>
      </c>
      <c r="I217" s="7">
        <f t="shared" si="3"/>
        <v>2</v>
      </c>
      <c r="J217" s="7">
        <f>YEAR(Tableau36[[#This Row],[Date]])</f>
        <v>2023</v>
      </c>
      <c r="K217" s="42">
        <v>470</v>
      </c>
    </row>
    <row r="218" spans="2:12" hidden="1" x14ac:dyDescent="0.25">
      <c r="B218" s="7" t="s">
        <v>156</v>
      </c>
      <c r="C218" s="7" t="s">
        <v>275</v>
      </c>
      <c r="D218" s="7" t="s">
        <v>468</v>
      </c>
      <c r="E218" s="7" t="s">
        <v>127</v>
      </c>
      <c r="H218" s="13">
        <v>44974</v>
      </c>
      <c r="I218" s="7">
        <f t="shared" si="3"/>
        <v>2</v>
      </c>
      <c r="J218" s="7">
        <f>YEAR(Tableau36[[#This Row],[Date]])</f>
        <v>2023</v>
      </c>
      <c r="K218" s="42">
        <v>20</v>
      </c>
    </row>
    <row r="219" spans="2:12" hidden="1" x14ac:dyDescent="0.25">
      <c r="B219" s="7" t="s">
        <v>156</v>
      </c>
      <c r="C219" s="7" t="s">
        <v>158</v>
      </c>
      <c r="D219" s="7" t="s">
        <v>469</v>
      </c>
      <c r="E219" s="7" t="s">
        <v>127</v>
      </c>
      <c r="H219" s="13">
        <v>44977</v>
      </c>
      <c r="I219" s="7">
        <f t="shared" si="3"/>
        <v>2</v>
      </c>
      <c r="J219" s="7">
        <f>YEAR(Tableau36[[#This Row],[Date]])</f>
        <v>2023</v>
      </c>
      <c r="K219" s="42">
        <v>200</v>
      </c>
    </row>
    <row r="220" spans="2:12" hidden="1" x14ac:dyDescent="0.25">
      <c r="B220" s="7" t="s">
        <v>384</v>
      </c>
      <c r="C220" s="7" t="s">
        <v>152</v>
      </c>
      <c r="D220" s="7" t="s">
        <v>347</v>
      </c>
      <c r="E220" s="7" t="s">
        <v>127</v>
      </c>
      <c r="H220" s="13">
        <v>44985</v>
      </c>
      <c r="I220" s="7">
        <f t="shared" si="3"/>
        <v>2</v>
      </c>
      <c r="J220" s="7">
        <f>YEAR(Tableau36[[#This Row],[Date]])</f>
        <v>2023</v>
      </c>
      <c r="K220" s="42">
        <v>4565</v>
      </c>
    </row>
    <row r="221" spans="2:12" hidden="1" x14ac:dyDescent="0.25">
      <c r="B221" s="7" t="s">
        <v>384</v>
      </c>
      <c r="C221" s="7" t="s">
        <v>329</v>
      </c>
      <c r="D221" s="7" t="s">
        <v>295</v>
      </c>
      <c r="E221" s="7" t="s">
        <v>333</v>
      </c>
      <c r="F221" s="7" t="s">
        <v>580</v>
      </c>
      <c r="H221" s="13">
        <v>44998</v>
      </c>
      <c r="I221" s="7">
        <f t="shared" si="3"/>
        <v>3</v>
      </c>
      <c r="J221" s="7">
        <f>YEAR(Tableau36[[#This Row],[Date]])</f>
        <v>2023</v>
      </c>
      <c r="K221" s="42">
        <v>1980</v>
      </c>
    </row>
    <row r="222" spans="2:12" hidden="1" x14ac:dyDescent="0.25">
      <c r="B222" s="7" t="s">
        <v>156</v>
      </c>
      <c r="C222" s="7" t="s">
        <v>158</v>
      </c>
      <c r="D222" s="7" t="s">
        <v>470</v>
      </c>
      <c r="E222" s="7" t="s">
        <v>127</v>
      </c>
      <c r="H222" s="13">
        <v>44986</v>
      </c>
      <c r="I222" s="7">
        <f t="shared" si="3"/>
        <v>3</v>
      </c>
      <c r="J222" s="7">
        <f>YEAR(Tableau36[[#This Row],[Date]])</f>
        <v>2023</v>
      </c>
      <c r="K222" s="42">
        <v>1950</v>
      </c>
    </row>
    <row r="223" spans="2:12" hidden="1" x14ac:dyDescent="0.25">
      <c r="B223" s="7" t="s">
        <v>155</v>
      </c>
      <c r="C223" s="7" t="s">
        <v>136</v>
      </c>
      <c r="D223" s="7" t="s">
        <v>471</v>
      </c>
      <c r="E223" s="7" t="s">
        <v>128</v>
      </c>
      <c r="F223" s="88" t="s">
        <v>580</v>
      </c>
      <c r="G223" s="7" t="s">
        <v>472</v>
      </c>
      <c r="H223" s="13">
        <v>44987</v>
      </c>
      <c r="I223" s="7">
        <f t="shared" si="3"/>
        <v>3</v>
      </c>
      <c r="J223" s="7">
        <f>YEAR(Tableau36[[#This Row],[Date]])</f>
        <v>2023</v>
      </c>
      <c r="K223" s="42">
        <v>1994.84</v>
      </c>
    </row>
    <row r="224" spans="2:12" hidden="1" x14ac:dyDescent="0.25">
      <c r="B224" s="7" t="s">
        <v>156</v>
      </c>
      <c r="C224" s="7" t="s">
        <v>275</v>
      </c>
      <c r="D224" s="7" t="s">
        <v>473</v>
      </c>
      <c r="E224" s="7" t="s">
        <v>128</v>
      </c>
      <c r="F224" s="88" t="s">
        <v>580</v>
      </c>
      <c r="G224" s="7" t="s">
        <v>474</v>
      </c>
      <c r="H224" s="13">
        <v>44988</v>
      </c>
      <c r="I224" s="7">
        <f t="shared" si="3"/>
        <v>3</v>
      </c>
      <c r="J224" s="7">
        <f>YEAR(Tableau36[[#This Row],[Date]])</f>
        <v>2023</v>
      </c>
      <c r="K224" s="42">
        <v>5000</v>
      </c>
    </row>
    <row r="225" spans="2:11" hidden="1" x14ac:dyDescent="0.25">
      <c r="B225" s="7" t="s">
        <v>156</v>
      </c>
      <c r="C225" s="7" t="s">
        <v>158</v>
      </c>
      <c r="D225" s="7" t="s">
        <v>477</v>
      </c>
      <c r="E225" s="7" t="s">
        <v>127</v>
      </c>
      <c r="H225" s="13">
        <v>44992</v>
      </c>
      <c r="I225" s="7">
        <f t="shared" si="3"/>
        <v>3</v>
      </c>
      <c r="J225" s="7">
        <f>YEAR(Tableau36[[#This Row],[Date]])</f>
        <v>2023</v>
      </c>
      <c r="K225" s="42">
        <v>400</v>
      </c>
    </row>
    <row r="226" spans="2:11" hidden="1" x14ac:dyDescent="0.25">
      <c r="B226" s="7" t="s">
        <v>156</v>
      </c>
      <c r="C226" s="7" t="s">
        <v>275</v>
      </c>
      <c r="D226" s="7" t="s">
        <v>478</v>
      </c>
      <c r="E226" s="7" t="s">
        <v>127</v>
      </c>
      <c r="H226" s="13">
        <v>44992</v>
      </c>
      <c r="I226" s="7">
        <f t="shared" si="3"/>
        <v>3</v>
      </c>
      <c r="J226" s="7">
        <f>YEAR(Tableau36[[#This Row],[Date]])</f>
        <v>2023</v>
      </c>
      <c r="K226" s="42">
        <v>15</v>
      </c>
    </row>
    <row r="227" spans="2:11" hidden="1" x14ac:dyDescent="0.25">
      <c r="B227" s="7" t="s">
        <v>156</v>
      </c>
      <c r="C227" s="7" t="s">
        <v>275</v>
      </c>
      <c r="D227" s="7" t="s">
        <v>479</v>
      </c>
      <c r="E227" s="7" t="s">
        <v>127</v>
      </c>
      <c r="H227" s="13">
        <v>44994</v>
      </c>
      <c r="I227" s="7">
        <f t="shared" si="3"/>
        <v>3</v>
      </c>
      <c r="J227" s="7">
        <f>YEAR(Tableau36[[#This Row],[Date]])</f>
        <v>2023</v>
      </c>
      <c r="K227" s="42">
        <v>260</v>
      </c>
    </row>
    <row r="228" spans="2:11" hidden="1" x14ac:dyDescent="0.25">
      <c r="B228" s="7" t="s">
        <v>156</v>
      </c>
      <c r="C228" s="7" t="s">
        <v>275</v>
      </c>
      <c r="D228" s="7" t="s">
        <v>480</v>
      </c>
      <c r="E228" s="7" t="s">
        <v>127</v>
      </c>
      <c r="H228" s="13">
        <v>44999</v>
      </c>
      <c r="I228" s="7">
        <f t="shared" si="3"/>
        <v>3</v>
      </c>
      <c r="J228" s="7">
        <f>YEAR(Tableau36[[#This Row],[Date]])</f>
        <v>2023</v>
      </c>
      <c r="K228" s="42">
        <v>10</v>
      </c>
    </row>
    <row r="229" spans="2:11" hidden="1" x14ac:dyDescent="0.25">
      <c r="B229" s="7" t="s">
        <v>384</v>
      </c>
      <c r="C229" s="7" t="s">
        <v>152</v>
      </c>
      <c r="D229" s="7" t="s">
        <v>340</v>
      </c>
      <c r="E229" s="7" t="s">
        <v>127</v>
      </c>
      <c r="H229" s="13">
        <v>45000</v>
      </c>
      <c r="I229" s="7">
        <f t="shared" si="3"/>
        <v>3</v>
      </c>
      <c r="J229" s="7">
        <f>YEAR(Tableau36[[#This Row],[Date]])</f>
        <v>2023</v>
      </c>
      <c r="K229" s="42">
        <v>4565</v>
      </c>
    </row>
    <row r="230" spans="2:11" hidden="1" x14ac:dyDescent="0.25">
      <c r="B230" s="7" t="s">
        <v>156</v>
      </c>
      <c r="C230" s="7" t="s">
        <v>158</v>
      </c>
      <c r="D230" s="7" t="s">
        <v>481</v>
      </c>
      <c r="E230" s="7" t="s">
        <v>127</v>
      </c>
      <c r="H230" s="13">
        <v>45000</v>
      </c>
      <c r="I230" s="7">
        <f t="shared" si="3"/>
        <v>3</v>
      </c>
      <c r="J230" s="7">
        <f>YEAR(Tableau36[[#This Row],[Date]])</f>
        <v>2023</v>
      </c>
      <c r="K230" s="42">
        <v>150</v>
      </c>
    </row>
    <row r="231" spans="2:11" hidden="1" x14ac:dyDescent="0.25">
      <c r="B231" s="7" t="s">
        <v>156</v>
      </c>
      <c r="C231" s="7" t="s">
        <v>159</v>
      </c>
      <c r="D231" s="7" t="s">
        <v>482</v>
      </c>
      <c r="E231" s="7" t="s">
        <v>127</v>
      </c>
      <c r="H231" s="13">
        <v>45000</v>
      </c>
      <c r="I231" s="7">
        <f t="shared" si="3"/>
        <v>3</v>
      </c>
      <c r="J231" s="7">
        <f>YEAR(Tableau36[[#This Row],[Date]])</f>
        <v>2023</v>
      </c>
      <c r="K231" s="42">
        <v>160</v>
      </c>
    </row>
    <row r="232" spans="2:11" hidden="1" x14ac:dyDescent="0.25">
      <c r="B232" s="7" t="s">
        <v>156</v>
      </c>
      <c r="C232" s="7" t="s">
        <v>157</v>
      </c>
      <c r="D232" s="7" t="s">
        <v>337</v>
      </c>
      <c r="E232" s="7" t="s">
        <v>127</v>
      </c>
      <c r="H232" s="13">
        <v>45002</v>
      </c>
      <c r="I232" s="7">
        <f t="shared" si="3"/>
        <v>3</v>
      </c>
      <c r="J232" s="7">
        <f>YEAR(Tableau36[[#This Row],[Date]])</f>
        <v>2023</v>
      </c>
      <c r="K232" s="42">
        <v>95</v>
      </c>
    </row>
    <row r="233" spans="2:11" hidden="1" x14ac:dyDescent="0.25">
      <c r="B233" s="7" t="s">
        <v>155</v>
      </c>
      <c r="C233" s="7" t="s">
        <v>137</v>
      </c>
      <c r="D233" s="7" t="s">
        <v>483</v>
      </c>
      <c r="E233" s="7" t="s">
        <v>333</v>
      </c>
      <c r="F233" s="7" t="s">
        <v>580</v>
      </c>
      <c r="H233" s="13">
        <v>45008</v>
      </c>
      <c r="I233" s="7">
        <f t="shared" si="3"/>
        <v>3</v>
      </c>
      <c r="J233" s="7">
        <f>YEAR(Tableau36[[#This Row],[Date]])</f>
        <v>2023</v>
      </c>
      <c r="K233" s="42">
        <v>199</v>
      </c>
    </row>
    <row r="234" spans="2:11" hidden="1" x14ac:dyDescent="0.25">
      <c r="B234" s="7" t="s">
        <v>160</v>
      </c>
      <c r="C234" s="7" t="s">
        <v>161</v>
      </c>
      <c r="D234" s="7" t="s">
        <v>484</v>
      </c>
      <c r="E234" s="7" t="s">
        <v>127</v>
      </c>
      <c r="H234" s="13">
        <v>45008</v>
      </c>
      <c r="I234" s="7">
        <f t="shared" si="3"/>
        <v>3</v>
      </c>
      <c r="J234" s="7">
        <f>YEAR(Tableau36[[#This Row],[Date]])</f>
        <v>2023</v>
      </c>
      <c r="K234" s="42">
        <v>122</v>
      </c>
    </row>
    <row r="235" spans="2:11" hidden="1" x14ac:dyDescent="0.25">
      <c r="B235" s="7" t="s">
        <v>156</v>
      </c>
      <c r="C235" s="7" t="s">
        <v>159</v>
      </c>
      <c r="D235" s="7" t="s">
        <v>485</v>
      </c>
      <c r="E235" s="7" t="s">
        <v>127</v>
      </c>
      <c r="H235" s="13">
        <v>45008</v>
      </c>
      <c r="I235" s="7">
        <f t="shared" si="3"/>
        <v>3</v>
      </c>
      <c r="J235" s="7">
        <f>YEAR(Tableau36[[#This Row],[Date]])</f>
        <v>2023</v>
      </c>
      <c r="K235" s="42">
        <v>50</v>
      </c>
    </row>
    <row r="236" spans="2:11" hidden="1" x14ac:dyDescent="0.25">
      <c r="B236" s="7" t="s">
        <v>156</v>
      </c>
      <c r="C236" s="7" t="s">
        <v>275</v>
      </c>
      <c r="D236" s="7" t="s">
        <v>486</v>
      </c>
      <c r="E236" s="7" t="s">
        <v>127</v>
      </c>
      <c r="H236" s="13">
        <v>45010</v>
      </c>
      <c r="I236" s="7">
        <f t="shared" si="3"/>
        <v>3</v>
      </c>
      <c r="J236" s="7">
        <f>YEAR(Tableau36[[#This Row],[Date]])</f>
        <v>2023</v>
      </c>
      <c r="K236" s="42">
        <v>65</v>
      </c>
    </row>
    <row r="237" spans="2:11" hidden="1" x14ac:dyDescent="0.25">
      <c r="B237" s="7" t="s">
        <v>156</v>
      </c>
      <c r="C237" s="7" t="s">
        <v>275</v>
      </c>
      <c r="D237" s="7" t="s">
        <v>487</v>
      </c>
      <c r="E237" s="7" t="s">
        <v>127</v>
      </c>
      <c r="H237" s="13">
        <v>45010</v>
      </c>
      <c r="I237" s="7">
        <f t="shared" si="3"/>
        <v>3</v>
      </c>
      <c r="J237" s="7">
        <f>YEAR(Tableau36[[#This Row],[Date]])</f>
        <v>2023</v>
      </c>
      <c r="K237" s="42">
        <v>78</v>
      </c>
    </row>
    <row r="238" spans="2:11" hidden="1" x14ac:dyDescent="0.25">
      <c r="B238" s="7" t="s">
        <v>156</v>
      </c>
      <c r="C238" s="7" t="s">
        <v>157</v>
      </c>
      <c r="D238" s="7" t="s">
        <v>488</v>
      </c>
      <c r="E238" s="7" t="s">
        <v>127</v>
      </c>
      <c r="H238" s="13">
        <v>45013</v>
      </c>
      <c r="I238" s="7">
        <f t="shared" si="3"/>
        <v>3</v>
      </c>
      <c r="J238" s="7">
        <f>YEAR(Tableau36[[#This Row],[Date]])</f>
        <v>2023</v>
      </c>
      <c r="K238" s="42">
        <v>125</v>
      </c>
    </row>
    <row r="239" spans="2:11" hidden="1" x14ac:dyDescent="0.25">
      <c r="B239" s="7" t="s">
        <v>384</v>
      </c>
      <c r="C239" s="7" t="s">
        <v>152</v>
      </c>
      <c r="D239" s="7" t="s">
        <v>347</v>
      </c>
      <c r="E239" s="7" t="s">
        <v>127</v>
      </c>
      <c r="H239" s="13">
        <v>45016</v>
      </c>
      <c r="I239" s="7">
        <f t="shared" si="3"/>
        <v>3</v>
      </c>
      <c r="J239" s="7">
        <f>YEAR(Tableau36[[#This Row],[Date]])</f>
        <v>2023</v>
      </c>
      <c r="K239" s="42">
        <v>4565</v>
      </c>
    </row>
    <row r="240" spans="2:11" hidden="1" x14ac:dyDescent="0.25">
      <c r="B240" s="7" t="s">
        <v>384</v>
      </c>
      <c r="C240" s="7" t="s">
        <v>329</v>
      </c>
      <c r="D240" s="7" t="s">
        <v>7</v>
      </c>
      <c r="E240" s="7" t="s">
        <v>333</v>
      </c>
      <c r="F240" s="7" t="s">
        <v>580</v>
      </c>
      <c r="H240" s="13">
        <v>45027</v>
      </c>
      <c r="I240" s="7">
        <f t="shared" si="3"/>
        <v>4</v>
      </c>
      <c r="J240" s="7">
        <f>YEAR(Tableau36[[#This Row],[Date]])</f>
        <v>2023</v>
      </c>
      <c r="K240" s="42">
        <v>1980</v>
      </c>
    </row>
    <row r="241" spans="2:11" hidden="1" x14ac:dyDescent="0.25">
      <c r="B241" s="7" t="s">
        <v>155</v>
      </c>
      <c r="C241" s="7" t="s">
        <v>136</v>
      </c>
      <c r="D241" s="7" t="s">
        <v>489</v>
      </c>
      <c r="E241" s="7" t="s">
        <v>128</v>
      </c>
      <c r="F241" s="88" t="s">
        <v>580</v>
      </c>
      <c r="G241" s="7" t="s">
        <v>490</v>
      </c>
      <c r="H241" s="13">
        <v>45019</v>
      </c>
      <c r="I241" s="7">
        <f t="shared" si="3"/>
        <v>4</v>
      </c>
      <c r="J241" s="7">
        <f>YEAR(Tableau36[[#This Row],[Date]])</f>
        <v>2023</v>
      </c>
      <c r="K241" s="42">
        <v>1180.03</v>
      </c>
    </row>
    <row r="242" spans="2:11" hidden="1" x14ac:dyDescent="0.25">
      <c r="B242" s="7" t="s">
        <v>155</v>
      </c>
      <c r="C242" s="7" t="s">
        <v>137</v>
      </c>
      <c r="D242" s="7" t="s">
        <v>491</v>
      </c>
      <c r="E242" s="7" t="s">
        <v>333</v>
      </c>
      <c r="F242" s="7" t="s">
        <v>580</v>
      </c>
      <c r="H242" s="13">
        <v>45027</v>
      </c>
      <c r="I242" s="7">
        <f t="shared" si="3"/>
        <v>4</v>
      </c>
      <c r="J242" s="7">
        <f>YEAR(Tableau36[[#This Row],[Date]])</f>
        <v>2023</v>
      </c>
      <c r="K242" s="42">
        <v>199</v>
      </c>
    </row>
    <row r="243" spans="2:11" hidden="1" x14ac:dyDescent="0.25">
      <c r="B243" s="7" t="s">
        <v>384</v>
      </c>
      <c r="C243" s="7" t="s">
        <v>152</v>
      </c>
      <c r="D243" s="7" t="s">
        <v>340</v>
      </c>
      <c r="E243" s="7" t="s">
        <v>127</v>
      </c>
      <c r="H243" s="13">
        <v>45031</v>
      </c>
      <c r="I243" s="7">
        <f t="shared" si="3"/>
        <v>4</v>
      </c>
      <c r="J243" s="7">
        <f>YEAR(Tableau36[[#This Row],[Date]])</f>
        <v>2023</v>
      </c>
      <c r="K243" s="42">
        <v>4565</v>
      </c>
    </row>
    <row r="244" spans="2:11" hidden="1" x14ac:dyDescent="0.25">
      <c r="B244" s="7" t="s">
        <v>156</v>
      </c>
      <c r="C244" s="7" t="s">
        <v>157</v>
      </c>
      <c r="D244" s="7" t="s">
        <v>337</v>
      </c>
      <c r="E244" s="7" t="s">
        <v>127</v>
      </c>
      <c r="H244" s="13">
        <v>45033</v>
      </c>
      <c r="I244" s="7">
        <f t="shared" si="3"/>
        <v>4</v>
      </c>
      <c r="J244" s="7">
        <f>YEAR(Tableau36[[#This Row],[Date]])</f>
        <v>2023</v>
      </c>
      <c r="K244" s="42">
        <v>95</v>
      </c>
    </row>
    <row r="245" spans="2:11" hidden="1" x14ac:dyDescent="0.25">
      <c r="B245" s="7" t="s">
        <v>384</v>
      </c>
      <c r="C245" s="7" t="s">
        <v>154</v>
      </c>
      <c r="D245" s="7" t="s">
        <v>492</v>
      </c>
      <c r="E245" s="7" t="s">
        <v>127</v>
      </c>
      <c r="H245" s="13">
        <v>45035</v>
      </c>
      <c r="I245" s="7">
        <f t="shared" si="3"/>
        <v>4</v>
      </c>
      <c r="J245" s="7">
        <f>YEAR(Tableau36[[#This Row],[Date]])</f>
        <v>2023</v>
      </c>
      <c r="K245" s="42">
        <v>1200</v>
      </c>
    </row>
    <row r="246" spans="2:11" hidden="1" x14ac:dyDescent="0.25">
      <c r="B246" s="7" t="s">
        <v>156</v>
      </c>
      <c r="C246" s="7" t="s">
        <v>275</v>
      </c>
      <c r="D246" s="7" t="s">
        <v>493</v>
      </c>
      <c r="E246" s="7" t="s">
        <v>127</v>
      </c>
      <c r="H246" s="13">
        <v>45035</v>
      </c>
      <c r="I246" s="7">
        <f t="shared" si="3"/>
        <v>4</v>
      </c>
      <c r="J246" s="7">
        <f>YEAR(Tableau36[[#This Row],[Date]])</f>
        <v>2023</v>
      </c>
      <c r="K246" s="42">
        <v>35</v>
      </c>
    </row>
    <row r="247" spans="2:11" hidden="1" x14ac:dyDescent="0.25">
      <c r="B247" s="7" t="s">
        <v>160</v>
      </c>
      <c r="C247" s="7" t="s">
        <v>368</v>
      </c>
      <c r="D247" s="7" t="s">
        <v>494</v>
      </c>
      <c r="E247" s="7" t="s">
        <v>127</v>
      </c>
      <c r="H247" s="13">
        <v>37741</v>
      </c>
      <c r="I247" s="7">
        <f t="shared" si="3"/>
        <v>4</v>
      </c>
      <c r="J247" s="7">
        <f>YEAR(Tableau36[[#This Row],[Date]])</f>
        <v>2003</v>
      </c>
      <c r="K247" s="42">
        <v>220</v>
      </c>
    </row>
    <row r="248" spans="2:11" hidden="1" x14ac:dyDescent="0.25">
      <c r="B248" s="7" t="s">
        <v>384</v>
      </c>
      <c r="C248" s="7" t="s">
        <v>152</v>
      </c>
      <c r="D248" s="7" t="s">
        <v>347</v>
      </c>
      <c r="E248" s="7" t="s">
        <v>127</v>
      </c>
      <c r="H248" s="13">
        <v>45046</v>
      </c>
      <c r="I248" s="7">
        <f t="shared" si="3"/>
        <v>4</v>
      </c>
      <c r="J248" s="7">
        <f>YEAR(Tableau36[[#This Row],[Date]])</f>
        <v>2023</v>
      </c>
      <c r="K248" s="42">
        <v>4565</v>
      </c>
    </row>
    <row r="249" spans="2:11" hidden="1" x14ac:dyDescent="0.25">
      <c r="B249" s="7" t="s">
        <v>384</v>
      </c>
      <c r="C249" s="7" t="s">
        <v>329</v>
      </c>
      <c r="D249" s="7" t="s">
        <v>8</v>
      </c>
      <c r="E249" s="7" t="s">
        <v>333</v>
      </c>
      <c r="F249" s="7" t="s">
        <v>580</v>
      </c>
      <c r="H249" s="13">
        <v>45057</v>
      </c>
      <c r="I249" s="7">
        <f t="shared" si="3"/>
        <v>5</v>
      </c>
      <c r="J249" s="7">
        <f>YEAR(Tableau36[[#This Row],[Date]])</f>
        <v>2023</v>
      </c>
      <c r="K249" s="42">
        <v>1980</v>
      </c>
    </row>
    <row r="250" spans="2:11" hidden="1" x14ac:dyDescent="0.25">
      <c r="B250" s="7" t="s">
        <v>155</v>
      </c>
      <c r="C250" s="7" t="s">
        <v>136</v>
      </c>
      <c r="D250" s="7" t="s">
        <v>496</v>
      </c>
      <c r="E250" s="7" t="s">
        <v>127</v>
      </c>
      <c r="H250" s="13">
        <v>45048</v>
      </c>
      <c r="I250" s="7">
        <f t="shared" si="3"/>
        <v>5</v>
      </c>
      <c r="J250" s="7">
        <f>YEAR(Tableau36[[#This Row],[Date]])</f>
        <v>2023</v>
      </c>
      <c r="K250" s="42">
        <v>435</v>
      </c>
    </row>
    <row r="251" spans="2:11" hidden="1" x14ac:dyDescent="0.25">
      <c r="B251" s="7" t="s">
        <v>160</v>
      </c>
      <c r="C251" s="7" t="s">
        <v>161</v>
      </c>
      <c r="D251" s="7" t="s">
        <v>293</v>
      </c>
      <c r="E251" s="7" t="s">
        <v>127</v>
      </c>
      <c r="H251" s="13">
        <v>45048</v>
      </c>
      <c r="I251" s="7">
        <f t="shared" si="3"/>
        <v>5</v>
      </c>
      <c r="J251" s="7">
        <f>YEAR(Tableau36[[#This Row],[Date]])</f>
        <v>2023</v>
      </c>
      <c r="K251" s="42">
        <v>40</v>
      </c>
    </row>
    <row r="252" spans="2:11" hidden="1" x14ac:dyDescent="0.25">
      <c r="B252" s="7" t="s">
        <v>156</v>
      </c>
      <c r="C252" s="7" t="s">
        <v>159</v>
      </c>
      <c r="D252" s="7" t="s">
        <v>497</v>
      </c>
      <c r="E252" s="7" t="s">
        <v>127</v>
      </c>
      <c r="H252" s="13">
        <v>45048</v>
      </c>
      <c r="I252" s="7">
        <f t="shared" si="3"/>
        <v>5</v>
      </c>
      <c r="J252" s="7">
        <f>YEAR(Tableau36[[#This Row],[Date]])</f>
        <v>2023</v>
      </c>
      <c r="K252" s="42">
        <v>120</v>
      </c>
    </row>
    <row r="253" spans="2:11" hidden="1" x14ac:dyDescent="0.25">
      <c r="B253" s="7" t="s">
        <v>384</v>
      </c>
      <c r="C253" s="7" t="s">
        <v>152</v>
      </c>
      <c r="D253" s="7" t="s">
        <v>340</v>
      </c>
      <c r="E253" s="7" t="s">
        <v>127</v>
      </c>
      <c r="H253" s="13">
        <v>45061</v>
      </c>
      <c r="I253" s="7">
        <f t="shared" si="3"/>
        <v>5</v>
      </c>
      <c r="J253" s="7">
        <f>YEAR(Tableau36[[#This Row],[Date]])</f>
        <v>2023</v>
      </c>
      <c r="K253" s="42">
        <v>4565</v>
      </c>
    </row>
    <row r="254" spans="2:11" hidden="1" x14ac:dyDescent="0.25">
      <c r="B254" s="7" t="s">
        <v>160</v>
      </c>
      <c r="C254" s="7" t="s">
        <v>161</v>
      </c>
      <c r="D254" s="7" t="s">
        <v>293</v>
      </c>
      <c r="E254" s="7" t="s">
        <v>127</v>
      </c>
      <c r="H254" s="13">
        <v>45062</v>
      </c>
      <c r="I254" s="7">
        <f t="shared" si="3"/>
        <v>5</v>
      </c>
      <c r="J254" s="7">
        <f>YEAR(Tableau36[[#This Row],[Date]])</f>
        <v>2023</v>
      </c>
      <c r="K254" s="42">
        <v>70</v>
      </c>
    </row>
    <row r="255" spans="2:11" hidden="1" x14ac:dyDescent="0.25">
      <c r="B255" s="7" t="s">
        <v>156</v>
      </c>
      <c r="C255" s="7" t="s">
        <v>157</v>
      </c>
      <c r="D255" s="7" t="s">
        <v>337</v>
      </c>
      <c r="E255" s="7" t="s">
        <v>127</v>
      </c>
      <c r="H255" s="13">
        <v>45065</v>
      </c>
      <c r="I255" s="7">
        <f t="shared" si="3"/>
        <v>5</v>
      </c>
      <c r="J255" s="7">
        <f>YEAR(Tableau36[[#This Row],[Date]])</f>
        <v>2023</v>
      </c>
      <c r="K255" s="42">
        <v>95</v>
      </c>
    </row>
    <row r="256" spans="2:11" hidden="1" x14ac:dyDescent="0.25">
      <c r="B256" s="7" t="s">
        <v>155</v>
      </c>
      <c r="C256" s="7" t="s">
        <v>136</v>
      </c>
      <c r="D256" s="7" t="s">
        <v>495</v>
      </c>
      <c r="E256" s="7" t="s">
        <v>128</v>
      </c>
      <c r="F256" s="88" t="s">
        <v>580</v>
      </c>
      <c r="G256" s="7" t="s">
        <v>498</v>
      </c>
      <c r="H256" s="13">
        <v>45049</v>
      </c>
      <c r="I256" s="7">
        <f t="shared" si="3"/>
        <v>5</v>
      </c>
      <c r="J256" s="7">
        <f>YEAR(Tableau36[[#This Row],[Date]])</f>
        <v>2023</v>
      </c>
      <c r="K256" s="42">
        <v>758.94</v>
      </c>
    </row>
    <row r="257" spans="2:11" hidden="1" x14ac:dyDescent="0.25">
      <c r="B257" s="7" t="s">
        <v>156</v>
      </c>
      <c r="C257" s="7" t="s">
        <v>158</v>
      </c>
      <c r="D257" s="7" t="s">
        <v>499</v>
      </c>
      <c r="E257" s="7" t="s">
        <v>127</v>
      </c>
      <c r="H257" s="13">
        <v>45069</v>
      </c>
      <c r="I257" s="7">
        <f t="shared" si="3"/>
        <v>5</v>
      </c>
      <c r="J257" s="7">
        <f>YEAR(Tableau36[[#This Row],[Date]])</f>
        <v>2023</v>
      </c>
      <c r="K257" s="42">
        <v>800</v>
      </c>
    </row>
    <row r="258" spans="2:11" hidden="1" x14ac:dyDescent="0.25">
      <c r="B258" s="7" t="s">
        <v>384</v>
      </c>
      <c r="C258" s="7" t="s">
        <v>152</v>
      </c>
      <c r="D258" s="7" t="s">
        <v>347</v>
      </c>
      <c r="E258" s="7" t="s">
        <v>127</v>
      </c>
      <c r="H258" s="13">
        <v>45076</v>
      </c>
      <c r="I258" s="7">
        <f t="shared" si="3"/>
        <v>5</v>
      </c>
      <c r="J258" s="7">
        <f>YEAR(Tableau36[[#This Row],[Date]])</f>
        <v>2023</v>
      </c>
      <c r="K258" s="42">
        <v>4565</v>
      </c>
    </row>
    <row r="259" spans="2:11" hidden="1" x14ac:dyDescent="0.25">
      <c r="B259" s="7" t="s">
        <v>155</v>
      </c>
      <c r="C259" s="7" t="s">
        <v>137</v>
      </c>
      <c r="D259" s="7" t="s">
        <v>500</v>
      </c>
      <c r="E259" s="7" t="s">
        <v>333</v>
      </c>
      <c r="F259" s="7" t="s">
        <v>580</v>
      </c>
      <c r="H259" s="13">
        <v>45055</v>
      </c>
      <c r="I259" s="7">
        <f t="shared" si="3"/>
        <v>5</v>
      </c>
      <c r="J259" s="7">
        <f>YEAR(Tableau36[[#This Row],[Date]])</f>
        <v>2023</v>
      </c>
      <c r="K259" s="42">
        <v>199</v>
      </c>
    </row>
    <row r="260" spans="2:11" hidden="1" x14ac:dyDescent="0.25">
      <c r="B260" s="7" t="s">
        <v>384</v>
      </c>
      <c r="C260" s="7" t="s">
        <v>329</v>
      </c>
      <c r="D260" s="7" t="s">
        <v>9</v>
      </c>
      <c r="E260" s="7" t="s">
        <v>333</v>
      </c>
      <c r="F260" s="7" t="s">
        <v>580</v>
      </c>
      <c r="H260" s="13">
        <v>45088</v>
      </c>
      <c r="I260" s="7">
        <f t="shared" si="3"/>
        <v>6</v>
      </c>
      <c r="J260" s="7">
        <f>YEAR(Tableau36[[#This Row],[Date]])</f>
        <v>2023</v>
      </c>
      <c r="K260" s="42">
        <v>1980</v>
      </c>
    </row>
    <row r="261" spans="2:11" hidden="1" x14ac:dyDescent="0.25">
      <c r="B261" s="7" t="s">
        <v>155</v>
      </c>
      <c r="C261" s="7" t="s">
        <v>136</v>
      </c>
      <c r="D261" s="7" t="s">
        <v>501</v>
      </c>
      <c r="E261" s="7" t="s">
        <v>128</v>
      </c>
      <c r="F261" s="88" t="s">
        <v>580</v>
      </c>
      <c r="G261" s="7" t="s">
        <v>502</v>
      </c>
      <c r="H261" s="13">
        <v>45082</v>
      </c>
      <c r="I261" s="7">
        <f t="shared" si="3"/>
        <v>6</v>
      </c>
      <c r="J261" s="7">
        <f>YEAR(Tableau36[[#This Row],[Date]])</f>
        <v>2023</v>
      </c>
      <c r="K261" s="42">
        <v>921.2</v>
      </c>
    </row>
    <row r="262" spans="2:11" hidden="1" x14ac:dyDescent="0.25">
      <c r="B262" s="7" t="s">
        <v>156</v>
      </c>
      <c r="C262" s="7" t="s">
        <v>275</v>
      </c>
      <c r="D262" s="7" t="s">
        <v>374</v>
      </c>
      <c r="E262" s="7" t="s">
        <v>128</v>
      </c>
      <c r="F262" s="88" t="s">
        <v>580</v>
      </c>
      <c r="G262" s="7" t="s">
        <v>503</v>
      </c>
      <c r="H262" s="13">
        <v>45086</v>
      </c>
      <c r="I262" s="7">
        <f t="shared" si="3"/>
        <v>6</v>
      </c>
      <c r="J262" s="7">
        <f>YEAR(Tableau36[[#This Row],[Date]])</f>
        <v>2023</v>
      </c>
      <c r="K262" s="42">
        <v>2609</v>
      </c>
    </row>
    <row r="263" spans="2:11" hidden="1" x14ac:dyDescent="0.25">
      <c r="B263" s="7" t="s">
        <v>160</v>
      </c>
      <c r="C263" s="7" t="s">
        <v>368</v>
      </c>
      <c r="D263" s="7" t="s">
        <v>537</v>
      </c>
      <c r="E263" s="7" t="s">
        <v>127</v>
      </c>
      <c r="H263" s="13">
        <v>45089</v>
      </c>
      <c r="I263" s="7">
        <f t="shared" ref="I263:I326" si="4">MONTH(H263)</f>
        <v>6</v>
      </c>
      <c r="J263" s="7">
        <f>YEAR(Tableau36[[#This Row],[Date]])</f>
        <v>2023</v>
      </c>
      <c r="K263" s="42">
        <v>20</v>
      </c>
    </row>
    <row r="264" spans="2:11" hidden="1" x14ac:dyDescent="0.25">
      <c r="B264" s="7" t="s">
        <v>156</v>
      </c>
      <c r="C264" s="7" t="s">
        <v>275</v>
      </c>
      <c r="D264" s="7" t="s">
        <v>400</v>
      </c>
      <c r="E264" s="7" t="s">
        <v>127</v>
      </c>
      <c r="H264" s="13">
        <v>45089</v>
      </c>
      <c r="I264" s="7">
        <f t="shared" si="4"/>
        <v>6</v>
      </c>
      <c r="J264" s="7">
        <f>YEAR(Tableau36[[#This Row],[Date]])</f>
        <v>2023</v>
      </c>
      <c r="K264" s="42">
        <v>134.5</v>
      </c>
    </row>
    <row r="265" spans="2:11" hidden="1" x14ac:dyDescent="0.25">
      <c r="B265" s="7" t="s">
        <v>160</v>
      </c>
      <c r="C265" s="7" t="s">
        <v>161</v>
      </c>
      <c r="D265" s="7" t="s">
        <v>293</v>
      </c>
      <c r="E265" s="7" t="s">
        <v>127</v>
      </c>
      <c r="H265" s="13">
        <v>45095</v>
      </c>
      <c r="I265" s="7">
        <f t="shared" si="4"/>
        <v>6</v>
      </c>
      <c r="J265" s="7">
        <f>YEAR(Tableau36[[#This Row],[Date]])</f>
        <v>2023</v>
      </c>
      <c r="K265" s="42">
        <v>75</v>
      </c>
    </row>
    <row r="266" spans="2:11" hidden="1" x14ac:dyDescent="0.25">
      <c r="B266" s="7" t="s">
        <v>384</v>
      </c>
      <c r="C266" s="7" t="s">
        <v>152</v>
      </c>
      <c r="D266" s="7" t="s">
        <v>340</v>
      </c>
      <c r="E266" s="7" t="s">
        <v>127</v>
      </c>
      <c r="H266" s="13">
        <v>45092</v>
      </c>
      <c r="I266" s="7">
        <f t="shared" si="4"/>
        <v>6</v>
      </c>
      <c r="J266" s="7">
        <f>YEAR(Tableau36[[#This Row],[Date]])</f>
        <v>2023</v>
      </c>
      <c r="K266" s="42">
        <v>3715</v>
      </c>
    </row>
    <row r="267" spans="2:11" hidden="1" x14ac:dyDescent="0.25">
      <c r="B267" s="7" t="s">
        <v>156</v>
      </c>
      <c r="C267" s="7" t="s">
        <v>158</v>
      </c>
      <c r="D267" s="7" t="s">
        <v>504</v>
      </c>
      <c r="E267" s="7" t="s">
        <v>127</v>
      </c>
      <c r="H267" s="13">
        <v>45098</v>
      </c>
      <c r="I267" s="7">
        <f t="shared" si="4"/>
        <v>6</v>
      </c>
      <c r="J267" s="7">
        <f>YEAR(Tableau36[[#This Row],[Date]])</f>
        <v>2023</v>
      </c>
      <c r="K267" s="42">
        <v>500</v>
      </c>
    </row>
    <row r="268" spans="2:11" hidden="1" x14ac:dyDescent="0.25">
      <c r="B268" s="7" t="s">
        <v>156</v>
      </c>
      <c r="C268" s="7" t="s">
        <v>157</v>
      </c>
      <c r="D268" s="7" t="s">
        <v>337</v>
      </c>
      <c r="E268" s="7" t="s">
        <v>127</v>
      </c>
      <c r="H268" s="13">
        <v>45101</v>
      </c>
      <c r="I268" s="7">
        <f t="shared" si="4"/>
        <v>6</v>
      </c>
      <c r="J268" s="7">
        <f>YEAR(Tableau36[[#This Row],[Date]])</f>
        <v>2023</v>
      </c>
      <c r="K268" s="42">
        <v>95</v>
      </c>
    </row>
    <row r="269" spans="2:11" hidden="1" x14ac:dyDescent="0.25">
      <c r="B269" s="7" t="s">
        <v>384</v>
      </c>
      <c r="C269" s="7" t="s">
        <v>152</v>
      </c>
      <c r="D269" s="7" t="s">
        <v>347</v>
      </c>
      <c r="E269" s="7" t="s">
        <v>127</v>
      </c>
      <c r="H269" s="13">
        <v>45104</v>
      </c>
      <c r="I269" s="7">
        <f t="shared" si="4"/>
        <v>6</v>
      </c>
      <c r="J269" s="7">
        <f>YEAR(Tableau36[[#This Row],[Date]])</f>
        <v>2023</v>
      </c>
      <c r="K269" s="42">
        <v>4565</v>
      </c>
    </row>
    <row r="270" spans="2:11" hidden="1" x14ac:dyDescent="0.25">
      <c r="B270" s="7" t="s">
        <v>384</v>
      </c>
      <c r="C270" s="7" t="s">
        <v>153</v>
      </c>
      <c r="D270" s="7" t="s">
        <v>505</v>
      </c>
      <c r="E270" s="7" t="s">
        <v>127</v>
      </c>
      <c r="H270" s="13">
        <v>45104</v>
      </c>
      <c r="I270" s="7">
        <f t="shared" si="4"/>
        <v>6</v>
      </c>
      <c r="J270" s="7">
        <f>YEAR(Tableau36[[#This Row],[Date]])</f>
        <v>2023</v>
      </c>
      <c r="K270" s="42">
        <v>4000</v>
      </c>
    </row>
    <row r="271" spans="2:11" hidden="1" x14ac:dyDescent="0.25">
      <c r="B271" s="7" t="s">
        <v>155</v>
      </c>
      <c r="C271" s="7" t="s">
        <v>137</v>
      </c>
      <c r="D271" s="7" t="s">
        <v>506</v>
      </c>
      <c r="E271" s="7" t="s">
        <v>333</v>
      </c>
      <c r="F271" s="7" t="s">
        <v>580</v>
      </c>
      <c r="H271" s="13">
        <v>45089</v>
      </c>
      <c r="I271" s="7">
        <f t="shared" si="4"/>
        <v>6</v>
      </c>
      <c r="J271" s="7">
        <f>YEAR(Tableau36[[#This Row],[Date]])</f>
        <v>2023</v>
      </c>
      <c r="K271" s="42">
        <v>199</v>
      </c>
    </row>
    <row r="272" spans="2:11" hidden="1" x14ac:dyDescent="0.25">
      <c r="B272" s="7" t="s">
        <v>155</v>
      </c>
      <c r="C272" s="7" t="s">
        <v>136</v>
      </c>
      <c r="D272" s="7" t="s">
        <v>507</v>
      </c>
      <c r="E272" s="7" t="s">
        <v>128</v>
      </c>
      <c r="F272" s="88" t="s">
        <v>580</v>
      </c>
      <c r="G272" s="7" t="s">
        <v>508</v>
      </c>
      <c r="H272" s="13">
        <v>45110</v>
      </c>
      <c r="I272" s="7">
        <f t="shared" si="4"/>
        <v>7</v>
      </c>
      <c r="J272" s="7">
        <f>YEAR(Tableau36[[#This Row],[Date]])</f>
        <v>2023</v>
      </c>
      <c r="K272" s="42">
        <v>947.99</v>
      </c>
    </row>
    <row r="273" spans="2:11" hidden="1" x14ac:dyDescent="0.25">
      <c r="B273" s="7" t="s">
        <v>384</v>
      </c>
      <c r="C273" s="7" t="s">
        <v>329</v>
      </c>
      <c r="D273" s="7" t="s">
        <v>273</v>
      </c>
      <c r="E273" s="7" t="s">
        <v>333</v>
      </c>
      <c r="F273" s="7" t="s">
        <v>580</v>
      </c>
      <c r="H273" s="13">
        <v>45118</v>
      </c>
      <c r="I273" s="7">
        <f t="shared" si="4"/>
        <v>7</v>
      </c>
      <c r="J273" s="7">
        <f>YEAR(Tableau36[[#This Row],[Date]])</f>
        <v>2023</v>
      </c>
      <c r="K273" s="42">
        <v>1980</v>
      </c>
    </row>
    <row r="274" spans="2:11" hidden="1" x14ac:dyDescent="0.25">
      <c r="B274" s="7" t="s">
        <v>155</v>
      </c>
      <c r="C274" s="7" t="s">
        <v>137</v>
      </c>
      <c r="D274" s="7" t="s">
        <v>538</v>
      </c>
      <c r="E274" s="7" t="s">
        <v>333</v>
      </c>
      <c r="F274" s="7" t="s">
        <v>580</v>
      </c>
      <c r="H274" s="13">
        <v>45119</v>
      </c>
      <c r="I274" s="7">
        <f t="shared" si="4"/>
        <v>7</v>
      </c>
      <c r="J274" s="7">
        <f>YEAR(Tableau36[[#This Row],[Date]])</f>
        <v>2023</v>
      </c>
      <c r="K274" s="42">
        <v>199</v>
      </c>
    </row>
    <row r="275" spans="2:11" hidden="1" x14ac:dyDescent="0.25">
      <c r="B275" s="7" t="s">
        <v>160</v>
      </c>
      <c r="C275" s="7" t="s">
        <v>161</v>
      </c>
      <c r="D275" s="7" t="s">
        <v>293</v>
      </c>
      <c r="E275" s="7" t="s">
        <v>127</v>
      </c>
      <c r="H275" s="13">
        <v>45119</v>
      </c>
      <c r="I275" s="7">
        <f t="shared" si="4"/>
        <v>7</v>
      </c>
      <c r="J275" s="7">
        <f>YEAR(Tableau36[[#This Row],[Date]])</f>
        <v>2023</v>
      </c>
      <c r="K275" s="42">
        <v>70</v>
      </c>
    </row>
    <row r="276" spans="2:11" hidden="1" x14ac:dyDescent="0.25">
      <c r="B276" s="7" t="s">
        <v>156</v>
      </c>
      <c r="C276" s="7" t="s">
        <v>275</v>
      </c>
      <c r="D276" s="7" t="s">
        <v>509</v>
      </c>
      <c r="E276" s="7" t="s">
        <v>127</v>
      </c>
      <c r="H276" s="13">
        <v>45120</v>
      </c>
      <c r="I276" s="7">
        <f t="shared" si="4"/>
        <v>7</v>
      </c>
      <c r="J276" s="7">
        <f>YEAR(Tableau36[[#This Row],[Date]])</f>
        <v>2023</v>
      </c>
      <c r="K276" s="42">
        <v>52</v>
      </c>
    </row>
    <row r="277" spans="2:11" hidden="1" x14ac:dyDescent="0.25">
      <c r="B277" s="7" t="s">
        <v>156</v>
      </c>
      <c r="C277" s="7" t="s">
        <v>275</v>
      </c>
      <c r="D277" s="7" t="s">
        <v>510</v>
      </c>
      <c r="E277" s="7" t="s">
        <v>127</v>
      </c>
      <c r="H277" s="13">
        <v>45121</v>
      </c>
      <c r="I277" s="7">
        <f t="shared" si="4"/>
        <v>7</v>
      </c>
      <c r="J277" s="7">
        <f>YEAR(Tableau36[[#This Row],[Date]])</f>
        <v>2023</v>
      </c>
      <c r="K277" s="42">
        <v>34</v>
      </c>
    </row>
    <row r="278" spans="2:11" hidden="1" x14ac:dyDescent="0.25">
      <c r="B278" s="7" t="s">
        <v>160</v>
      </c>
      <c r="C278" s="7" t="s">
        <v>161</v>
      </c>
      <c r="D278" s="7" t="s">
        <v>511</v>
      </c>
      <c r="E278" s="7" t="s">
        <v>127</v>
      </c>
      <c r="H278" s="13">
        <v>45125</v>
      </c>
      <c r="I278" s="7">
        <f t="shared" si="4"/>
        <v>7</v>
      </c>
      <c r="J278" s="7">
        <f>YEAR(Tableau36[[#This Row],[Date]])</f>
        <v>2023</v>
      </c>
      <c r="K278" s="42">
        <v>290</v>
      </c>
    </row>
    <row r="279" spans="2:11" hidden="1" x14ac:dyDescent="0.25">
      <c r="B279" s="7" t="s">
        <v>160</v>
      </c>
      <c r="C279" s="7" t="s">
        <v>162</v>
      </c>
      <c r="D279" s="7" t="s">
        <v>399</v>
      </c>
      <c r="E279" s="7" t="s">
        <v>127</v>
      </c>
      <c r="H279" s="13">
        <v>45125</v>
      </c>
      <c r="I279" s="7">
        <f t="shared" si="4"/>
        <v>7</v>
      </c>
      <c r="J279" s="7">
        <f>YEAR(Tableau36[[#This Row],[Date]])</f>
        <v>2023</v>
      </c>
      <c r="K279" s="42">
        <v>700</v>
      </c>
    </row>
    <row r="280" spans="2:11" hidden="1" x14ac:dyDescent="0.25">
      <c r="B280" s="7" t="s">
        <v>384</v>
      </c>
      <c r="C280" s="7" t="s">
        <v>152</v>
      </c>
      <c r="D280" s="7" t="s">
        <v>340</v>
      </c>
      <c r="E280" s="7" t="s">
        <v>127</v>
      </c>
      <c r="H280" s="13">
        <v>45122</v>
      </c>
      <c r="I280" s="7">
        <f t="shared" si="4"/>
        <v>7</v>
      </c>
      <c r="J280" s="7">
        <f>YEAR(Tableau36[[#This Row],[Date]])</f>
        <v>2023</v>
      </c>
      <c r="K280" s="42">
        <v>4565</v>
      </c>
    </row>
    <row r="281" spans="2:11" hidden="1" x14ac:dyDescent="0.25">
      <c r="B281" s="7" t="s">
        <v>384</v>
      </c>
      <c r="C281" s="7" t="s">
        <v>152</v>
      </c>
      <c r="D281" s="7" t="s">
        <v>519</v>
      </c>
      <c r="E281" s="7" t="s">
        <v>127</v>
      </c>
      <c r="H281" s="13">
        <v>45122</v>
      </c>
      <c r="I281" s="7">
        <f t="shared" si="4"/>
        <v>7</v>
      </c>
      <c r="J281" s="7">
        <f>YEAR(Tableau36[[#This Row],[Date]])</f>
        <v>2023</v>
      </c>
      <c r="K281" s="42">
        <v>357</v>
      </c>
    </row>
    <row r="282" spans="2:11" hidden="1" x14ac:dyDescent="0.25">
      <c r="B282" s="7" t="s">
        <v>160</v>
      </c>
      <c r="C282" s="7" t="s">
        <v>162</v>
      </c>
      <c r="D282" s="7" t="s">
        <v>520</v>
      </c>
      <c r="E282" s="7" t="s">
        <v>127</v>
      </c>
      <c r="H282" s="13">
        <v>45131</v>
      </c>
      <c r="I282" s="7">
        <f t="shared" si="4"/>
        <v>7</v>
      </c>
      <c r="J282" s="7">
        <f>YEAR(Tableau36[[#This Row],[Date]])</f>
        <v>2023</v>
      </c>
      <c r="K282" s="42">
        <v>200</v>
      </c>
    </row>
    <row r="283" spans="2:11" hidden="1" x14ac:dyDescent="0.25">
      <c r="B283" s="7" t="s">
        <v>384</v>
      </c>
      <c r="C283" s="7" t="s">
        <v>152</v>
      </c>
      <c r="D283" s="7" t="s">
        <v>521</v>
      </c>
      <c r="E283" s="7" t="s">
        <v>127</v>
      </c>
      <c r="H283" s="13">
        <v>45132</v>
      </c>
      <c r="I283" s="7">
        <f t="shared" si="4"/>
        <v>7</v>
      </c>
      <c r="J283" s="7">
        <f>YEAR(Tableau36[[#This Row],[Date]])</f>
        <v>2023</v>
      </c>
      <c r="K283" s="42">
        <v>567</v>
      </c>
    </row>
    <row r="284" spans="2:11" hidden="1" x14ac:dyDescent="0.25">
      <c r="B284" s="7" t="s">
        <v>156</v>
      </c>
      <c r="C284" s="7" t="s">
        <v>157</v>
      </c>
      <c r="D284" s="7" t="s">
        <v>522</v>
      </c>
      <c r="E284" s="7" t="s">
        <v>127</v>
      </c>
      <c r="H284" s="13">
        <v>45132</v>
      </c>
      <c r="I284" s="7">
        <f t="shared" si="4"/>
        <v>7</v>
      </c>
      <c r="J284" s="7">
        <f>YEAR(Tableau36[[#This Row],[Date]])</f>
        <v>2023</v>
      </c>
      <c r="K284" s="42">
        <v>47</v>
      </c>
    </row>
    <row r="285" spans="2:11" hidden="1" x14ac:dyDescent="0.25">
      <c r="B285" s="7" t="s">
        <v>156</v>
      </c>
      <c r="C285" s="7" t="s">
        <v>157</v>
      </c>
      <c r="D285" s="7" t="s">
        <v>523</v>
      </c>
      <c r="E285" s="7" t="s">
        <v>127</v>
      </c>
      <c r="H285" s="13">
        <v>45136</v>
      </c>
      <c r="I285" s="7">
        <f t="shared" si="4"/>
        <v>7</v>
      </c>
      <c r="J285" s="7">
        <f>YEAR(Tableau36[[#This Row],[Date]])</f>
        <v>2023</v>
      </c>
      <c r="K285" s="42">
        <v>48</v>
      </c>
    </row>
    <row r="286" spans="2:11" hidden="1" x14ac:dyDescent="0.25">
      <c r="B286" s="7" t="s">
        <v>156</v>
      </c>
      <c r="C286" s="7" t="s">
        <v>158</v>
      </c>
      <c r="D286" s="7" t="s">
        <v>524</v>
      </c>
      <c r="E286" s="7" t="s">
        <v>127</v>
      </c>
      <c r="H286" s="13">
        <v>45136</v>
      </c>
      <c r="I286" s="7">
        <f t="shared" si="4"/>
        <v>7</v>
      </c>
      <c r="J286" s="7">
        <f>YEAR(Tableau36[[#This Row],[Date]])</f>
        <v>2023</v>
      </c>
      <c r="K286" s="42">
        <v>420</v>
      </c>
    </row>
    <row r="287" spans="2:11" hidden="1" x14ac:dyDescent="0.25">
      <c r="B287" s="7" t="s">
        <v>384</v>
      </c>
      <c r="C287" s="7" t="s">
        <v>152</v>
      </c>
      <c r="D287" s="7" t="s">
        <v>347</v>
      </c>
      <c r="E287" s="7" t="s">
        <v>127</v>
      </c>
      <c r="H287" s="13">
        <v>45137</v>
      </c>
      <c r="I287" s="7">
        <f t="shared" si="4"/>
        <v>7</v>
      </c>
      <c r="J287" s="7">
        <f>YEAR(Tableau36[[#This Row],[Date]])</f>
        <v>2023</v>
      </c>
      <c r="K287" s="42">
        <v>3715</v>
      </c>
    </row>
    <row r="288" spans="2:11" hidden="1" x14ac:dyDescent="0.25">
      <c r="B288" s="7" t="s">
        <v>156</v>
      </c>
      <c r="C288" s="7" t="s">
        <v>275</v>
      </c>
      <c r="D288" s="7" t="s">
        <v>525</v>
      </c>
      <c r="E288" s="7" t="s">
        <v>127</v>
      </c>
      <c r="H288" s="13">
        <v>45138</v>
      </c>
      <c r="I288" s="7">
        <f t="shared" si="4"/>
        <v>7</v>
      </c>
      <c r="J288" s="7">
        <f>YEAR(Tableau36[[#This Row],[Date]])</f>
        <v>2023</v>
      </c>
      <c r="K288" s="42">
        <v>12</v>
      </c>
    </row>
    <row r="289" spans="2:11" hidden="1" x14ac:dyDescent="0.25">
      <c r="B289" s="7" t="s">
        <v>160</v>
      </c>
      <c r="C289" s="7" t="s">
        <v>161</v>
      </c>
      <c r="D289" s="7" t="s">
        <v>293</v>
      </c>
      <c r="E289" s="7" t="s">
        <v>127</v>
      </c>
      <c r="H289" s="13">
        <v>45138</v>
      </c>
      <c r="I289" s="7">
        <f t="shared" si="4"/>
        <v>7</v>
      </c>
      <c r="J289" s="7">
        <f>YEAR(Tableau36[[#This Row],[Date]])</f>
        <v>2023</v>
      </c>
      <c r="K289" s="42">
        <v>76</v>
      </c>
    </row>
    <row r="290" spans="2:11" hidden="1" x14ac:dyDescent="0.25">
      <c r="B290" s="7" t="s">
        <v>155</v>
      </c>
      <c r="C290" s="7" t="s">
        <v>136</v>
      </c>
      <c r="D290" s="7" t="s">
        <v>527</v>
      </c>
      <c r="E290" s="7" t="s">
        <v>128</v>
      </c>
      <c r="F290" s="88" t="s">
        <v>580</v>
      </c>
      <c r="G290" s="7" t="s">
        <v>528</v>
      </c>
      <c r="H290" s="13">
        <v>45139</v>
      </c>
      <c r="I290" s="7">
        <f t="shared" si="4"/>
        <v>8</v>
      </c>
      <c r="J290" s="7">
        <f>YEAR(Tableau36[[#This Row],[Date]])</f>
        <v>2023</v>
      </c>
      <c r="K290" s="42">
        <v>845.32</v>
      </c>
    </row>
    <row r="291" spans="2:11" hidden="1" x14ac:dyDescent="0.25">
      <c r="B291" s="7" t="s">
        <v>156</v>
      </c>
      <c r="C291" s="7" t="s">
        <v>275</v>
      </c>
      <c r="D291" s="7" t="s">
        <v>529</v>
      </c>
      <c r="E291" s="7" t="s">
        <v>127</v>
      </c>
      <c r="H291" s="13">
        <v>45140</v>
      </c>
      <c r="I291" s="7">
        <f t="shared" si="4"/>
        <v>8</v>
      </c>
      <c r="J291" s="7">
        <f>YEAR(Tableau36[[#This Row],[Date]])</f>
        <v>2023</v>
      </c>
      <c r="K291" s="42">
        <v>150</v>
      </c>
    </row>
    <row r="292" spans="2:11" hidden="1" x14ac:dyDescent="0.25">
      <c r="B292" s="7" t="s">
        <v>156</v>
      </c>
      <c r="C292" s="7" t="s">
        <v>157</v>
      </c>
      <c r="D292" s="7" t="s">
        <v>535</v>
      </c>
      <c r="E292" s="7" t="s">
        <v>127</v>
      </c>
      <c r="H292" s="13">
        <v>45146</v>
      </c>
      <c r="I292" s="7">
        <f t="shared" si="4"/>
        <v>8</v>
      </c>
      <c r="J292" s="7">
        <f>YEAR(Tableau36[[#This Row],[Date]])</f>
        <v>2023</v>
      </c>
      <c r="K292" s="42">
        <v>10</v>
      </c>
    </row>
    <row r="293" spans="2:11" hidden="1" x14ac:dyDescent="0.25">
      <c r="B293" s="7" t="s">
        <v>156</v>
      </c>
      <c r="C293" s="7" t="s">
        <v>158</v>
      </c>
      <c r="D293" s="7" t="s">
        <v>536</v>
      </c>
      <c r="E293" s="7" t="s">
        <v>127</v>
      </c>
      <c r="H293" s="13">
        <v>45147</v>
      </c>
      <c r="I293" s="7">
        <f t="shared" si="4"/>
        <v>8</v>
      </c>
      <c r="J293" s="7">
        <f>YEAR(Tableau36[[#This Row],[Date]])</f>
        <v>2023</v>
      </c>
      <c r="K293" s="42">
        <v>400</v>
      </c>
    </row>
    <row r="294" spans="2:11" hidden="1" x14ac:dyDescent="0.25">
      <c r="B294" s="7" t="s">
        <v>384</v>
      </c>
      <c r="C294" s="7" t="s">
        <v>329</v>
      </c>
      <c r="D294" s="7" t="s">
        <v>214</v>
      </c>
      <c r="E294" s="7" t="s">
        <v>333</v>
      </c>
      <c r="F294" s="7" t="s">
        <v>580</v>
      </c>
      <c r="H294" s="13">
        <v>45149</v>
      </c>
      <c r="I294" s="7">
        <f t="shared" si="4"/>
        <v>8</v>
      </c>
      <c r="J294" s="7">
        <f>YEAR(Tableau36[[#This Row],[Date]])</f>
        <v>2023</v>
      </c>
      <c r="K294" s="42">
        <v>1980</v>
      </c>
    </row>
    <row r="295" spans="2:11" hidden="1" x14ac:dyDescent="0.25">
      <c r="B295" s="7" t="s">
        <v>155</v>
      </c>
      <c r="C295" s="7" t="s">
        <v>137</v>
      </c>
      <c r="D295" s="7" t="s">
        <v>539</v>
      </c>
      <c r="E295" s="7" t="s">
        <v>333</v>
      </c>
      <c r="F295" s="7" t="s">
        <v>580</v>
      </c>
      <c r="H295" s="13">
        <v>45150</v>
      </c>
      <c r="I295" s="7">
        <f t="shared" si="4"/>
        <v>8</v>
      </c>
      <c r="J295" s="7">
        <f>YEAR(Tableau36[[#This Row],[Date]])</f>
        <v>2023</v>
      </c>
      <c r="K295" s="42">
        <v>199</v>
      </c>
    </row>
    <row r="296" spans="2:11" hidden="1" x14ac:dyDescent="0.25">
      <c r="B296" s="7" t="s">
        <v>384</v>
      </c>
      <c r="C296" s="7" t="s">
        <v>152</v>
      </c>
      <c r="D296" s="7" t="s">
        <v>340</v>
      </c>
      <c r="E296" s="7" t="s">
        <v>127</v>
      </c>
      <c r="H296" s="13">
        <v>45153</v>
      </c>
      <c r="I296" s="7">
        <f t="shared" si="4"/>
        <v>8</v>
      </c>
      <c r="J296" s="7">
        <f>YEAR(Tableau36[[#This Row],[Date]])</f>
        <v>2023</v>
      </c>
      <c r="K296" s="42">
        <v>4565</v>
      </c>
    </row>
    <row r="297" spans="2:11" hidden="1" x14ac:dyDescent="0.25">
      <c r="B297" s="7" t="s">
        <v>156</v>
      </c>
      <c r="C297" s="7" t="s">
        <v>158</v>
      </c>
      <c r="D297" s="7" t="s">
        <v>540</v>
      </c>
      <c r="E297" s="7" t="s">
        <v>127</v>
      </c>
      <c r="H297" s="13">
        <v>45155</v>
      </c>
      <c r="I297" s="7">
        <f t="shared" si="4"/>
        <v>8</v>
      </c>
      <c r="J297" s="7">
        <f>YEAR(Tableau36[[#This Row],[Date]])</f>
        <v>2023</v>
      </c>
      <c r="K297" s="42">
        <v>400</v>
      </c>
    </row>
    <row r="298" spans="2:11" hidden="1" x14ac:dyDescent="0.25">
      <c r="B298" s="7" t="s">
        <v>156</v>
      </c>
      <c r="C298" s="7" t="s">
        <v>158</v>
      </c>
      <c r="D298" s="7" t="s">
        <v>541</v>
      </c>
      <c r="E298" s="7" t="s">
        <v>127</v>
      </c>
      <c r="H298" s="13">
        <v>45155</v>
      </c>
      <c r="I298" s="7">
        <f t="shared" si="4"/>
        <v>8</v>
      </c>
      <c r="J298" s="7">
        <f>YEAR(Tableau36[[#This Row],[Date]])</f>
        <v>2023</v>
      </c>
      <c r="K298" s="42">
        <v>400</v>
      </c>
    </row>
    <row r="299" spans="2:11" hidden="1" x14ac:dyDescent="0.25">
      <c r="B299" s="7" t="s">
        <v>160</v>
      </c>
      <c r="C299" s="7" t="s">
        <v>161</v>
      </c>
      <c r="D299" s="7" t="s">
        <v>293</v>
      </c>
      <c r="E299" s="7" t="s">
        <v>127</v>
      </c>
      <c r="H299" s="13">
        <v>45161</v>
      </c>
      <c r="I299" s="7">
        <f t="shared" si="4"/>
        <v>8</v>
      </c>
      <c r="J299" s="7">
        <f>YEAR(Tableau36[[#This Row],[Date]])</f>
        <v>2023</v>
      </c>
      <c r="K299" s="42">
        <v>75</v>
      </c>
    </row>
    <row r="300" spans="2:11" hidden="1" x14ac:dyDescent="0.25">
      <c r="B300" s="7" t="s">
        <v>156</v>
      </c>
      <c r="C300" s="7" t="s">
        <v>157</v>
      </c>
      <c r="D300" s="7" t="s">
        <v>337</v>
      </c>
      <c r="E300" s="7" t="s">
        <v>127</v>
      </c>
      <c r="H300" s="13">
        <v>45161</v>
      </c>
      <c r="I300" s="7">
        <f t="shared" si="4"/>
        <v>8</v>
      </c>
      <c r="J300" s="7">
        <f>YEAR(Tableau36[[#This Row],[Date]])</f>
        <v>2023</v>
      </c>
      <c r="K300" s="42">
        <v>95</v>
      </c>
    </row>
    <row r="301" spans="2:11" hidden="1" x14ac:dyDescent="0.25">
      <c r="B301" s="7" t="s">
        <v>156</v>
      </c>
      <c r="C301" s="7" t="s">
        <v>158</v>
      </c>
      <c r="D301" s="7" t="s">
        <v>541</v>
      </c>
      <c r="E301" s="7" t="s">
        <v>127</v>
      </c>
      <c r="H301" s="13">
        <v>45163</v>
      </c>
      <c r="I301" s="7">
        <f t="shared" si="4"/>
        <v>8</v>
      </c>
      <c r="J301" s="7">
        <f>YEAR(Tableau36[[#This Row],[Date]])</f>
        <v>2023</v>
      </c>
      <c r="K301" s="42">
        <v>1000</v>
      </c>
    </row>
    <row r="302" spans="2:11" hidden="1" x14ac:dyDescent="0.25">
      <c r="B302" s="7" t="s">
        <v>384</v>
      </c>
      <c r="C302" s="7" t="s">
        <v>152</v>
      </c>
      <c r="D302" s="7" t="s">
        <v>347</v>
      </c>
      <c r="E302" s="7" t="s">
        <v>127</v>
      </c>
      <c r="H302" s="13">
        <v>45168</v>
      </c>
      <c r="I302" s="7">
        <f t="shared" si="4"/>
        <v>8</v>
      </c>
      <c r="J302" s="7">
        <f>YEAR(Tableau36[[#This Row],[Date]])</f>
        <v>2023</v>
      </c>
      <c r="K302" s="42">
        <v>4565</v>
      </c>
    </row>
    <row r="303" spans="2:11" hidden="1" x14ac:dyDescent="0.25">
      <c r="B303" s="7" t="s">
        <v>155</v>
      </c>
      <c r="C303" s="7" t="s">
        <v>136</v>
      </c>
      <c r="D303" s="7" t="s">
        <v>552</v>
      </c>
      <c r="E303" s="7" t="s">
        <v>128</v>
      </c>
      <c r="F303" s="88" t="s">
        <v>580</v>
      </c>
      <c r="G303" s="7" t="s">
        <v>553</v>
      </c>
      <c r="H303" s="13">
        <v>45174</v>
      </c>
      <c r="I303" s="7">
        <f t="shared" si="4"/>
        <v>9</v>
      </c>
      <c r="J303" s="7">
        <f>YEAR(Tableau36[[#This Row],[Date]])</f>
        <v>2023</v>
      </c>
      <c r="K303" s="42">
        <v>1154.08</v>
      </c>
    </row>
    <row r="304" spans="2:11" hidden="1" x14ac:dyDescent="0.25">
      <c r="B304" s="7" t="s">
        <v>160</v>
      </c>
      <c r="C304" s="7" t="s">
        <v>161</v>
      </c>
      <c r="D304" s="7" t="s">
        <v>293</v>
      </c>
      <c r="E304" s="7" t="s">
        <v>127</v>
      </c>
      <c r="H304" s="13">
        <v>45180</v>
      </c>
      <c r="I304" s="7">
        <f t="shared" si="4"/>
        <v>9</v>
      </c>
      <c r="J304" s="7">
        <f>YEAR(Tableau36[[#This Row],[Date]])</f>
        <v>2023</v>
      </c>
      <c r="K304" s="42">
        <v>80</v>
      </c>
    </row>
    <row r="305" spans="2:11" hidden="1" x14ac:dyDescent="0.25">
      <c r="B305" s="7" t="s">
        <v>155</v>
      </c>
      <c r="C305" s="7" t="s">
        <v>137</v>
      </c>
      <c r="D305" s="7" t="s">
        <v>554</v>
      </c>
      <c r="E305" s="7" t="s">
        <v>333</v>
      </c>
      <c r="F305" s="7" t="s">
        <v>580</v>
      </c>
      <c r="H305" s="13">
        <v>45180</v>
      </c>
      <c r="I305" s="7">
        <f t="shared" si="4"/>
        <v>9</v>
      </c>
      <c r="J305" s="7">
        <f>YEAR(Tableau36[[#This Row],[Date]])</f>
        <v>2023</v>
      </c>
      <c r="K305" s="42">
        <v>199</v>
      </c>
    </row>
    <row r="306" spans="2:11" hidden="1" x14ac:dyDescent="0.25">
      <c r="B306" s="7" t="s">
        <v>384</v>
      </c>
      <c r="C306" s="7" t="s">
        <v>329</v>
      </c>
      <c r="D306" s="7" t="s">
        <v>12</v>
      </c>
      <c r="E306" s="7" t="s">
        <v>333</v>
      </c>
      <c r="F306" s="7" t="s">
        <v>580</v>
      </c>
      <c r="H306" s="13">
        <v>45180</v>
      </c>
      <c r="I306" s="7">
        <f t="shared" si="4"/>
        <v>9</v>
      </c>
      <c r="J306" s="7">
        <f>YEAR(Tableau36[[#This Row],[Date]])</f>
        <v>2023</v>
      </c>
      <c r="K306" s="42">
        <v>1980</v>
      </c>
    </row>
    <row r="307" spans="2:11" hidden="1" x14ac:dyDescent="0.25">
      <c r="B307" s="7" t="s">
        <v>156</v>
      </c>
      <c r="C307" s="7" t="s">
        <v>158</v>
      </c>
      <c r="D307" s="7" t="s">
        <v>543</v>
      </c>
      <c r="E307" s="7" t="s">
        <v>127</v>
      </c>
      <c r="H307" s="13">
        <v>45183</v>
      </c>
      <c r="I307" s="7">
        <f t="shared" si="4"/>
        <v>9</v>
      </c>
      <c r="J307" s="7">
        <f>YEAR(Tableau36[[#This Row],[Date]])</f>
        <v>2023</v>
      </c>
      <c r="K307" s="42">
        <v>250</v>
      </c>
    </row>
    <row r="308" spans="2:11" hidden="1" x14ac:dyDescent="0.25">
      <c r="B308" s="7" t="s">
        <v>160</v>
      </c>
      <c r="C308" s="7" t="s">
        <v>368</v>
      </c>
      <c r="D308" s="7" t="s">
        <v>327</v>
      </c>
      <c r="E308" s="7" t="s">
        <v>127</v>
      </c>
      <c r="H308" s="13">
        <v>45184</v>
      </c>
      <c r="I308" s="7">
        <f t="shared" si="4"/>
        <v>9</v>
      </c>
      <c r="J308" s="7">
        <f>YEAR(Tableau36[[#This Row],[Date]])</f>
        <v>2023</v>
      </c>
      <c r="K308" s="42">
        <v>30</v>
      </c>
    </row>
    <row r="309" spans="2:11" hidden="1" x14ac:dyDescent="0.25">
      <c r="B309" s="7" t="s">
        <v>384</v>
      </c>
      <c r="C309" s="7" t="s">
        <v>152</v>
      </c>
      <c r="D309" s="7" t="s">
        <v>340</v>
      </c>
      <c r="E309" s="7" t="s">
        <v>127</v>
      </c>
      <c r="H309" s="13">
        <v>45184</v>
      </c>
      <c r="I309" s="7">
        <f t="shared" si="4"/>
        <v>9</v>
      </c>
      <c r="J309" s="7">
        <f>YEAR(Tableau36[[#This Row],[Date]])</f>
        <v>2023</v>
      </c>
      <c r="K309" s="42">
        <v>4565</v>
      </c>
    </row>
    <row r="310" spans="2:11" hidden="1" x14ac:dyDescent="0.25">
      <c r="B310" s="7" t="s">
        <v>156</v>
      </c>
      <c r="C310" s="7" t="s">
        <v>275</v>
      </c>
      <c r="D310" s="7" t="s">
        <v>549</v>
      </c>
      <c r="E310" s="7" t="s">
        <v>127</v>
      </c>
      <c r="H310" s="13">
        <v>45192</v>
      </c>
      <c r="I310" s="7">
        <f t="shared" si="4"/>
        <v>9</v>
      </c>
      <c r="J310" s="7">
        <f>YEAR(Tableau36[[#This Row],[Date]])</f>
        <v>2023</v>
      </c>
      <c r="K310" s="42">
        <v>100</v>
      </c>
    </row>
    <row r="311" spans="2:11" hidden="1" x14ac:dyDescent="0.25">
      <c r="B311" s="7" t="s">
        <v>156</v>
      </c>
      <c r="C311" s="7" t="s">
        <v>157</v>
      </c>
      <c r="D311" s="7" t="s">
        <v>337</v>
      </c>
      <c r="E311" s="7" t="s">
        <v>127</v>
      </c>
      <c r="H311" s="13">
        <v>45195</v>
      </c>
      <c r="I311" s="7">
        <f t="shared" si="4"/>
        <v>9</v>
      </c>
      <c r="J311" s="7">
        <f>YEAR(Tableau36[[#This Row],[Date]])</f>
        <v>2023</v>
      </c>
      <c r="K311" s="42">
        <v>95</v>
      </c>
    </row>
    <row r="312" spans="2:11" hidden="1" x14ac:dyDescent="0.25">
      <c r="B312" s="7" t="s">
        <v>160</v>
      </c>
      <c r="C312" s="7" t="s">
        <v>161</v>
      </c>
      <c r="D312" s="7" t="s">
        <v>293</v>
      </c>
      <c r="E312" s="7" t="s">
        <v>127</v>
      </c>
      <c r="H312" s="13">
        <v>45195</v>
      </c>
      <c r="I312" s="7">
        <f t="shared" si="4"/>
        <v>9</v>
      </c>
      <c r="J312" s="7">
        <f>YEAR(Tableau36[[#This Row],[Date]])</f>
        <v>2023</v>
      </c>
      <c r="K312" s="42">
        <v>86</v>
      </c>
    </row>
    <row r="313" spans="2:11" hidden="1" x14ac:dyDescent="0.25">
      <c r="B313" s="7" t="s">
        <v>156</v>
      </c>
      <c r="C313" s="7" t="s">
        <v>275</v>
      </c>
      <c r="D313" s="7" t="s">
        <v>550</v>
      </c>
      <c r="E313" s="7" t="s">
        <v>127</v>
      </c>
      <c r="H313" s="13">
        <v>45198</v>
      </c>
      <c r="I313" s="7">
        <f t="shared" si="4"/>
        <v>9</v>
      </c>
      <c r="J313" s="7">
        <f>YEAR(Tableau36[[#This Row],[Date]])</f>
        <v>2023</v>
      </c>
      <c r="K313" s="42">
        <v>150</v>
      </c>
    </row>
    <row r="314" spans="2:11" hidden="1" x14ac:dyDescent="0.25">
      <c r="B314" s="7" t="s">
        <v>156</v>
      </c>
      <c r="C314" s="7" t="s">
        <v>275</v>
      </c>
      <c r="D314" s="7" t="s">
        <v>555</v>
      </c>
      <c r="E314" s="7" t="s">
        <v>127</v>
      </c>
      <c r="H314" s="13">
        <v>45198</v>
      </c>
      <c r="I314" s="7">
        <f t="shared" si="4"/>
        <v>9</v>
      </c>
      <c r="J314" s="7">
        <f>YEAR(Tableau36[[#This Row],[Date]])</f>
        <v>2023</v>
      </c>
      <c r="K314" s="42">
        <v>34</v>
      </c>
    </row>
    <row r="315" spans="2:11" hidden="1" x14ac:dyDescent="0.25">
      <c r="B315" s="7" t="s">
        <v>384</v>
      </c>
      <c r="C315" s="7" t="s">
        <v>152</v>
      </c>
      <c r="D315" s="7" t="s">
        <v>347</v>
      </c>
      <c r="E315" s="7" t="s">
        <v>127</v>
      </c>
      <c r="H315" s="13">
        <v>45199</v>
      </c>
      <c r="I315" s="7">
        <f t="shared" si="4"/>
        <v>9</v>
      </c>
      <c r="J315" s="7">
        <f>YEAR(Tableau36[[#This Row],[Date]])</f>
        <v>2023</v>
      </c>
      <c r="K315" s="42">
        <v>4840</v>
      </c>
    </row>
    <row r="316" spans="2:11" hidden="1" x14ac:dyDescent="0.25">
      <c r="B316" s="7" t="s">
        <v>384</v>
      </c>
      <c r="C316" s="7" t="s">
        <v>152</v>
      </c>
      <c r="D316" s="7" t="s">
        <v>551</v>
      </c>
      <c r="E316" s="7" t="s">
        <v>127</v>
      </c>
      <c r="H316" s="13">
        <v>45199</v>
      </c>
      <c r="I316" s="7">
        <f t="shared" si="4"/>
        <v>9</v>
      </c>
      <c r="J316" s="7">
        <f>YEAR(Tableau36[[#This Row],[Date]])</f>
        <v>2023</v>
      </c>
      <c r="K316" s="42">
        <v>275</v>
      </c>
    </row>
    <row r="317" spans="2:11" hidden="1" x14ac:dyDescent="0.25">
      <c r="B317" s="7" t="s">
        <v>155</v>
      </c>
      <c r="C317" s="7" t="s">
        <v>136</v>
      </c>
      <c r="D317" s="7" t="s">
        <v>556</v>
      </c>
      <c r="E317" s="7" t="s">
        <v>128</v>
      </c>
      <c r="F317" s="88" t="s">
        <v>580</v>
      </c>
      <c r="G317" s="7" t="s">
        <v>557</v>
      </c>
      <c r="H317" s="13">
        <v>45201</v>
      </c>
      <c r="I317" s="7">
        <f t="shared" si="4"/>
        <v>10</v>
      </c>
      <c r="J317" s="7">
        <f>YEAR(Tableau36[[#This Row],[Date]])</f>
        <v>2023</v>
      </c>
      <c r="K317" s="42">
        <v>1094.03</v>
      </c>
    </row>
    <row r="318" spans="2:11" hidden="1" x14ac:dyDescent="0.25">
      <c r="B318" s="7" t="s">
        <v>156</v>
      </c>
      <c r="C318" s="7" t="s">
        <v>159</v>
      </c>
      <c r="D318" s="7" t="s">
        <v>389</v>
      </c>
      <c r="E318" s="7" t="s">
        <v>127</v>
      </c>
      <c r="H318" s="13">
        <v>45206</v>
      </c>
      <c r="I318" s="7">
        <f t="shared" si="4"/>
        <v>10</v>
      </c>
      <c r="J318" s="7">
        <f>YEAR(Tableau36[[#This Row],[Date]])</f>
        <v>2023</v>
      </c>
      <c r="K318" s="42">
        <v>100</v>
      </c>
    </row>
    <row r="319" spans="2:11" hidden="1" x14ac:dyDescent="0.25">
      <c r="B319" s="7" t="s">
        <v>156</v>
      </c>
      <c r="C319" s="7" t="s">
        <v>158</v>
      </c>
      <c r="D319" s="7" t="s">
        <v>559</v>
      </c>
      <c r="E319" s="7" t="s">
        <v>127</v>
      </c>
      <c r="H319" s="13">
        <v>45211</v>
      </c>
      <c r="I319" s="7">
        <f t="shared" si="4"/>
        <v>10</v>
      </c>
      <c r="J319" s="7">
        <f>YEAR(Tableau36[[#This Row],[Date]])</f>
        <v>2023</v>
      </c>
      <c r="K319" s="42">
        <v>600</v>
      </c>
    </row>
    <row r="320" spans="2:11" hidden="1" x14ac:dyDescent="0.25">
      <c r="B320" s="7" t="s">
        <v>384</v>
      </c>
      <c r="C320" s="7" t="s">
        <v>329</v>
      </c>
      <c r="D320" s="7" t="s">
        <v>222</v>
      </c>
      <c r="E320" s="7" t="s">
        <v>333</v>
      </c>
      <c r="F320" s="7" t="s">
        <v>580</v>
      </c>
      <c r="H320" s="13">
        <v>45211</v>
      </c>
      <c r="I320" s="7">
        <f t="shared" si="4"/>
        <v>10</v>
      </c>
      <c r="J320" s="7">
        <f>YEAR(Tableau36[[#This Row],[Date]])</f>
        <v>2023</v>
      </c>
      <c r="K320" s="42">
        <v>2078.9</v>
      </c>
    </row>
    <row r="321" spans="2:11" hidden="1" x14ac:dyDescent="0.25">
      <c r="B321" s="7" t="s">
        <v>384</v>
      </c>
      <c r="C321" s="7" t="s">
        <v>152</v>
      </c>
      <c r="D321" s="7" t="s">
        <v>340</v>
      </c>
      <c r="E321" s="7" t="s">
        <v>127</v>
      </c>
      <c r="H321" s="13">
        <v>45214</v>
      </c>
      <c r="I321" s="7">
        <f t="shared" si="4"/>
        <v>10</v>
      </c>
      <c r="J321" s="7">
        <f>YEAR(Tableau36[[#This Row],[Date]])</f>
        <v>2023</v>
      </c>
      <c r="K321" s="42">
        <v>4840</v>
      </c>
    </row>
    <row r="322" spans="2:11" hidden="1" x14ac:dyDescent="0.25">
      <c r="B322" s="7" t="s">
        <v>160</v>
      </c>
      <c r="C322" s="7" t="s">
        <v>161</v>
      </c>
      <c r="D322" s="7" t="s">
        <v>293</v>
      </c>
      <c r="E322" s="7" t="s">
        <v>127</v>
      </c>
      <c r="H322" s="13">
        <v>45223</v>
      </c>
      <c r="I322" s="7">
        <f t="shared" si="4"/>
        <v>10</v>
      </c>
      <c r="J322" s="7">
        <f>YEAR(Tableau36[[#This Row],[Date]])</f>
        <v>2023</v>
      </c>
      <c r="K322" s="42">
        <v>80</v>
      </c>
    </row>
    <row r="323" spans="2:11" hidden="1" x14ac:dyDescent="0.25">
      <c r="B323" s="7" t="s">
        <v>156</v>
      </c>
      <c r="C323" s="7" t="s">
        <v>275</v>
      </c>
      <c r="D323" s="7" t="s">
        <v>561</v>
      </c>
      <c r="E323" s="7" t="s">
        <v>127</v>
      </c>
      <c r="H323" s="13">
        <v>45225</v>
      </c>
      <c r="I323" s="7">
        <f t="shared" si="4"/>
        <v>10</v>
      </c>
      <c r="J323" s="7">
        <f>YEAR(Tableau36[[#This Row],[Date]])</f>
        <v>2023</v>
      </c>
      <c r="K323" s="42">
        <v>185</v>
      </c>
    </row>
    <row r="324" spans="2:11" hidden="1" x14ac:dyDescent="0.25">
      <c r="B324" s="7" t="s">
        <v>156</v>
      </c>
      <c r="C324" s="7" t="s">
        <v>157</v>
      </c>
      <c r="D324" s="7" t="s">
        <v>337</v>
      </c>
      <c r="E324" s="7" t="s">
        <v>127</v>
      </c>
      <c r="H324" s="13">
        <v>45225</v>
      </c>
      <c r="I324" s="7">
        <f t="shared" si="4"/>
        <v>10</v>
      </c>
      <c r="J324" s="7">
        <f>YEAR(Tableau36[[#This Row],[Date]])</f>
        <v>2023</v>
      </c>
      <c r="K324" s="42">
        <v>95</v>
      </c>
    </row>
    <row r="325" spans="2:11" hidden="1" x14ac:dyDescent="0.25">
      <c r="B325" s="7" t="s">
        <v>156</v>
      </c>
      <c r="C325" s="7" t="s">
        <v>275</v>
      </c>
      <c r="D325" s="7" t="s">
        <v>562</v>
      </c>
      <c r="E325" s="7" t="s">
        <v>127</v>
      </c>
      <c r="H325" s="13">
        <v>45225</v>
      </c>
      <c r="I325" s="7">
        <f t="shared" si="4"/>
        <v>10</v>
      </c>
      <c r="J325" s="7">
        <f>YEAR(Tableau36[[#This Row],[Date]])</f>
        <v>2023</v>
      </c>
      <c r="K325" s="42">
        <v>100</v>
      </c>
    </row>
    <row r="326" spans="2:11" hidden="1" x14ac:dyDescent="0.25">
      <c r="B326" s="7" t="s">
        <v>156</v>
      </c>
      <c r="C326" s="7" t="s">
        <v>158</v>
      </c>
      <c r="D326" s="7" t="s">
        <v>563</v>
      </c>
      <c r="E326" s="7" t="s">
        <v>127</v>
      </c>
      <c r="H326" s="13">
        <v>45227</v>
      </c>
      <c r="I326" s="7">
        <f t="shared" si="4"/>
        <v>10</v>
      </c>
      <c r="J326" s="7">
        <f>YEAR(Tableau36[[#This Row],[Date]])</f>
        <v>2023</v>
      </c>
      <c r="K326" s="42">
        <v>400</v>
      </c>
    </row>
    <row r="327" spans="2:11" hidden="1" x14ac:dyDescent="0.25">
      <c r="B327" s="7" t="s">
        <v>384</v>
      </c>
      <c r="C327" s="7" t="s">
        <v>152</v>
      </c>
      <c r="D327" s="7" t="s">
        <v>347</v>
      </c>
      <c r="E327" s="7" t="s">
        <v>127</v>
      </c>
      <c r="H327" s="13">
        <v>45229</v>
      </c>
      <c r="I327" s="7">
        <f t="shared" ref="I327:I336" si="5">MONTH(H327)</f>
        <v>10</v>
      </c>
      <c r="J327" s="7">
        <f>YEAR(Tableau36[[#This Row],[Date]])</f>
        <v>2023</v>
      </c>
      <c r="K327" s="42">
        <v>4840</v>
      </c>
    </row>
    <row r="328" spans="2:11" hidden="1" x14ac:dyDescent="0.25">
      <c r="B328" s="7" t="s">
        <v>155</v>
      </c>
      <c r="C328" s="7" t="s">
        <v>136</v>
      </c>
      <c r="D328" s="7" t="s">
        <v>564</v>
      </c>
      <c r="E328" s="7" t="s">
        <v>128</v>
      </c>
      <c r="F328" s="88" t="s">
        <v>580</v>
      </c>
      <c r="G328" s="7" t="s">
        <v>565</v>
      </c>
      <c r="H328" s="13">
        <v>45231</v>
      </c>
      <c r="I328" s="7">
        <f t="shared" si="5"/>
        <v>11</v>
      </c>
      <c r="J328" s="7">
        <f>YEAR(Tableau36[[#This Row],[Date]])</f>
        <v>2023</v>
      </c>
      <c r="K328" s="42">
        <v>880.5</v>
      </c>
    </row>
    <row r="329" spans="2:11" hidden="1" x14ac:dyDescent="0.25">
      <c r="B329" s="7" t="s">
        <v>156</v>
      </c>
      <c r="C329" s="7" t="s">
        <v>275</v>
      </c>
      <c r="D329" s="7" t="s">
        <v>566</v>
      </c>
      <c r="E329" s="7" t="s">
        <v>127</v>
      </c>
      <c r="H329" s="13">
        <v>45239</v>
      </c>
      <c r="I329" s="7">
        <f t="shared" si="5"/>
        <v>11</v>
      </c>
      <c r="J329" s="7">
        <f>YEAR(Tableau36[[#This Row],[Date]])</f>
        <v>2023</v>
      </c>
      <c r="K329" s="42">
        <v>150</v>
      </c>
    </row>
    <row r="330" spans="2:11" hidden="1" x14ac:dyDescent="0.25">
      <c r="B330" s="7" t="s">
        <v>156</v>
      </c>
      <c r="C330" s="7" t="s">
        <v>157</v>
      </c>
      <c r="D330" s="7" t="s">
        <v>567</v>
      </c>
      <c r="E330" s="7" t="s">
        <v>127</v>
      </c>
      <c r="H330" s="13">
        <v>45243</v>
      </c>
      <c r="I330" s="7">
        <f t="shared" si="5"/>
        <v>11</v>
      </c>
      <c r="J330" s="7">
        <f>YEAR(Tableau36[[#This Row],[Date]])</f>
        <v>2023</v>
      </c>
      <c r="K330" s="42">
        <v>18</v>
      </c>
    </row>
    <row r="331" spans="2:11" hidden="1" x14ac:dyDescent="0.25">
      <c r="B331" s="7" t="s">
        <v>384</v>
      </c>
      <c r="C331" s="7" t="s">
        <v>152</v>
      </c>
      <c r="D331" s="7" t="s">
        <v>340</v>
      </c>
      <c r="E331" s="7" t="s">
        <v>127</v>
      </c>
      <c r="H331" s="13">
        <v>45245</v>
      </c>
      <c r="I331" s="7">
        <f t="shared" si="5"/>
        <v>11</v>
      </c>
      <c r="J331" s="7">
        <f>YEAR(Tableau36[[#This Row],[Date]])</f>
        <v>2023</v>
      </c>
      <c r="K331" s="42">
        <v>3840</v>
      </c>
    </row>
    <row r="332" spans="2:11" hidden="1" x14ac:dyDescent="0.25">
      <c r="B332" s="7" t="s">
        <v>156</v>
      </c>
      <c r="C332" s="7" t="s">
        <v>158</v>
      </c>
      <c r="D332" s="7" t="s">
        <v>570</v>
      </c>
      <c r="E332" s="7" t="s">
        <v>127</v>
      </c>
      <c r="H332" s="13">
        <v>45251</v>
      </c>
      <c r="I332" s="7">
        <f t="shared" si="5"/>
        <v>11</v>
      </c>
      <c r="J332" s="7">
        <f>YEAR(Tableau36[[#This Row],[Date]])</f>
        <v>2023</v>
      </c>
      <c r="K332" s="42">
        <v>400</v>
      </c>
    </row>
    <row r="333" spans="2:11" hidden="1" x14ac:dyDescent="0.25">
      <c r="B333" s="7" t="s">
        <v>156</v>
      </c>
      <c r="C333" s="7" t="s">
        <v>158</v>
      </c>
      <c r="D333" s="7" t="s">
        <v>571</v>
      </c>
      <c r="E333" s="7" t="s">
        <v>127</v>
      </c>
      <c r="H333" s="13">
        <v>45251</v>
      </c>
      <c r="I333" s="7">
        <f t="shared" si="5"/>
        <v>11</v>
      </c>
      <c r="J333" s="7">
        <f>YEAR(Tableau36[[#This Row],[Date]])</f>
        <v>2023</v>
      </c>
      <c r="K333" s="42">
        <v>250</v>
      </c>
    </row>
    <row r="334" spans="2:11" hidden="1" x14ac:dyDescent="0.25">
      <c r="B334" s="7" t="s">
        <v>156</v>
      </c>
      <c r="C334" s="7" t="s">
        <v>275</v>
      </c>
      <c r="D334" s="7" t="s">
        <v>572</v>
      </c>
      <c r="E334" s="7" t="s">
        <v>127</v>
      </c>
      <c r="H334" s="13">
        <v>45253</v>
      </c>
      <c r="I334" s="7">
        <f t="shared" si="5"/>
        <v>11</v>
      </c>
      <c r="J334" s="7">
        <f>YEAR(Tableau36[[#This Row],[Date]])</f>
        <v>2023</v>
      </c>
      <c r="K334" s="42">
        <v>2800</v>
      </c>
    </row>
    <row r="335" spans="2:11" hidden="1" x14ac:dyDescent="0.25">
      <c r="B335" s="7" t="s">
        <v>156</v>
      </c>
      <c r="C335" s="7" t="s">
        <v>157</v>
      </c>
      <c r="D335" s="7" t="s">
        <v>337</v>
      </c>
      <c r="E335" s="7" t="s">
        <v>127</v>
      </c>
      <c r="H335" s="13">
        <v>45257</v>
      </c>
      <c r="I335" s="7">
        <f t="shared" si="5"/>
        <v>11</v>
      </c>
      <c r="J335" s="7">
        <f>YEAR(Tableau36[[#This Row],[Date]])</f>
        <v>2023</v>
      </c>
      <c r="K335" s="42">
        <v>95</v>
      </c>
    </row>
    <row r="336" spans="2:11" hidden="1" x14ac:dyDescent="0.25">
      <c r="B336" s="7" t="s">
        <v>160</v>
      </c>
      <c r="C336" s="7" t="s">
        <v>161</v>
      </c>
      <c r="D336" s="7" t="s">
        <v>293</v>
      </c>
      <c r="E336" s="7" t="s">
        <v>127</v>
      </c>
      <c r="H336" s="13">
        <v>45259</v>
      </c>
      <c r="I336" s="7">
        <f t="shared" si="5"/>
        <v>11</v>
      </c>
      <c r="J336" s="7">
        <f>YEAR(Tableau36[[#This Row],[Date]])</f>
        <v>2023</v>
      </c>
      <c r="K336" s="42">
        <v>75</v>
      </c>
    </row>
    <row r="337" spans="8:11" x14ac:dyDescent="0.25">
      <c r="H337" s="13"/>
      <c r="I337" s="13"/>
      <c r="K337" s="42"/>
    </row>
    <row r="338" spans="8:11" x14ac:dyDescent="0.25">
      <c r="H338" s="13"/>
      <c r="I338" s="13"/>
      <c r="K338" s="42"/>
    </row>
    <row r="339" spans="8:11" x14ac:dyDescent="0.25">
      <c r="H339" s="13"/>
      <c r="I339" s="13"/>
      <c r="K339" s="42"/>
    </row>
    <row r="340" spans="8:11" x14ac:dyDescent="0.25">
      <c r="H340" s="13"/>
      <c r="I340" s="13"/>
      <c r="K340" s="42"/>
    </row>
    <row r="341" spans="8:11" x14ac:dyDescent="0.25">
      <c r="H341" s="13"/>
      <c r="I341" s="13"/>
      <c r="K341" s="42"/>
    </row>
    <row r="342" spans="8:11" x14ac:dyDescent="0.25">
      <c r="H342" s="13"/>
      <c r="I342" s="13"/>
      <c r="K342" s="42"/>
    </row>
    <row r="343" spans="8:11" x14ac:dyDescent="0.25">
      <c r="H343" s="13"/>
      <c r="I343" s="13"/>
      <c r="K343" s="42"/>
    </row>
    <row r="344" spans="8:11" x14ac:dyDescent="0.25">
      <c r="H344" s="13"/>
      <c r="I344" s="13"/>
      <c r="K344" s="42"/>
    </row>
    <row r="345" spans="8:11" x14ac:dyDescent="0.25">
      <c r="H345" s="13"/>
      <c r="I345" s="13"/>
      <c r="K345" s="42"/>
    </row>
    <row r="346" spans="8:11" x14ac:dyDescent="0.25">
      <c r="H346" s="13"/>
      <c r="I346" s="13"/>
      <c r="K346" s="42"/>
    </row>
    <row r="347" spans="8:11" x14ac:dyDescent="0.25">
      <c r="H347" s="13"/>
      <c r="I347" s="13"/>
      <c r="K347" s="42"/>
    </row>
    <row r="348" spans="8:11" x14ac:dyDescent="0.25">
      <c r="H348" s="13"/>
      <c r="I348" s="13"/>
      <c r="K348" s="42"/>
    </row>
    <row r="349" spans="8:11" x14ac:dyDescent="0.25">
      <c r="H349" s="13"/>
      <c r="I349" s="13"/>
      <c r="K349" s="42"/>
    </row>
    <row r="350" spans="8:11" x14ac:dyDescent="0.25">
      <c r="H350" s="13"/>
      <c r="I350" s="13"/>
      <c r="K350" s="42"/>
    </row>
    <row r="351" spans="8:11" x14ac:dyDescent="0.25">
      <c r="H351" s="13"/>
      <c r="I351" s="13"/>
      <c r="K351" s="42"/>
    </row>
    <row r="352" spans="8:11" x14ac:dyDescent="0.25">
      <c r="H352" s="13"/>
      <c r="I352" s="13"/>
      <c r="K352" s="42"/>
    </row>
    <row r="353" spans="8:11" x14ac:dyDescent="0.25">
      <c r="H353" s="13"/>
      <c r="I353" s="13"/>
      <c r="K353" s="42"/>
    </row>
    <row r="354" spans="8:11" x14ac:dyDescent="0.25">
      <c r="H354" s="13"/>
      <c r="I354" s="13"/>
      <c r="K354" s="42"/>
    </row>
    <row r="355" spans="8:11" x14ac:dyDescent="0.25">
      <c r="H355" s="13"/>
      <c r="I355" s="13"/>
      <c r="K355" s="42"/>
    </row>
    <row r="356" spans="8:11" x14ac:dyDescent="0.25">
      <c r="H356" s="13"/>
      <c r="I356" s="13"/>
      <c r="K356" s="42"/>
    </row>
    <row r="357" spans="8:11" x14ac:dyDescent="0.25">
      <c r="H357" s="13"/>
      <c r="I357" s="13"/>
      <c r="K357" s="42"/>
    </row>
    <row r="358" spans="8:11" x14ac:dyDescent="0.25">
      <c r="H358" s="13"/>
      <c r="I358" s="13"/>
      <c r="K358" s="42"/>
    </row>
    <row r="359" spans="8:11" x14ac:dyDescent="0.25">
      <c r="H359" s="13"/>
      <c r="I359" s="13"/>
      <c r="K359" s="42"/>
    </row>
    <row r="360" spans="8:11" x14ac:dyDescent="0.25">
      <c r="H360" s="13"/>
      <c r="I360" s="13"/>
      <c r="K360" s="42"/>
    </row>
    <row r="361" spans="8:11" x14ac:dyDescent="0.25">
      <c r="H361" s="13"/>
      <c r="I361" s="13"/>
      <c r="K361" s="42"/>
    </row>
    <row r="362" spans="8:11" x14ac:dyDescent="0.25">
      <c r="H362" s="13"/>
      <c r="I362" s="13"/>
      <c r="K362" s="42"/>
    </row>
    <row r="363" spans="8:11" x14ac:dyDescent="0.25">
      <c r="H363" s="13"/>
      <c r="I363" s="13"/>
      <c r="K363" s="42"/>
    </row>
    <row r="364" spans="8:11" x14ac:dyDescent="0.25">
      <c r="H364" s="13"/>
      <c r="I364" s="13"/>
    </row>
  </sheetData>
  <dataValidations count="3">
    <dataValidation type="list" allowBlank="1" showInputMessage="1" showErrorMessage="1" sqref="B7:B336" xr:uid="{607C11E9-024D-4687-9B5E-5D2BF54A278F}">
      <formula1>Journal_Types</formula1>
    </dataValidation>
    <dataValidation type="list" allowBlank="1" showInputMessage="1" showErrorMessage="1" sqref="E7:E336" xr:uid="{0E8983F5-CC93-4AB0-A54C-2CB9D2AFBBDB}">
      <formula1>ModesRecette</formula1>
    </dataValidation>
    <dataValidation type="list" allowBlank="1" showInputMessage="1" showErrorMessage="1" sqref="C7:C336" xr:uid="{DF034E7B-B197-43AA-B118-1CA26A90B776}">
      <formula1>INDIRECT(SUBSTITUTE(SUBSTITUTE(B7,"&amp;","_")," ","_"))</formula1>
    </dataValidation>
  </dataValidations>
  <pageMargins left="0.7" right="0.7" top="0.75" bottom="0.75" header="0.3" footer="0.3"/>
  <pageSetup paperSize="9" orientation="portrait" verticalDpi="300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42587EB-C5E4-4480-B0D9-5F074749DF76}">
          <x14:formula1>
            <xm:f>Config!$F$2:$F$3</xm:f>
          </x14:formula1>
          <xm:sqref>N2 N4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9E75B-6B96-4129-A180-F418B221260E}">
  <sheetPr>
    <tabColor theme="8" tint="-0.249977111117893"/>
  </sheetPr>
  <dimension ref="A1:L26"/>
  <sheetViews>
    <sheetView showGridLines="0" zoomScaleNormal="100" workbookViewId="0">
      <selection activeCell="E8" sqref="E8"/>
    </sheetView>
  </sheetViews>
  <sheetFormatPr defaultColWidth="11.42578125" defaultRowHeight="18" x14ac:dyDescent="0.35"/>
  <cols>
    <col min="1" max="1" width="4.42578125" style="50" bestFit="1" customWidth="1"/>
    <col min="2" max="2" width="11.42578125" style="50"/>
    <col min="3" max="3" width="15.85546875" style="50" bestFit="1" customWidth="1"/>
    <col min="4" max="4" width="14.5703125" style="50" bestFit="1" customWidth="1"/>
    <col min="5" max="6" width="15.140625" style="50" customWidth="1"/>
    <col min="7" max="7" width="14.140625" style="50" customWidth="1"/>
    <col min="8" max="8" width="11.42578125" style="50"/>
    <col min="9" max="9" width="14.28515625" style="50" bestFit="1" customWidth="1"/>
    <col min="10" max="10" width="18" style="50" bestFit="1" customWidth="1"/>
    <col min="11" max="11" width="12.85546875" style="50" bestFit="1" customWidth="1"/>
    <col min="12" max="12" width="20.28515625" style="50" customWidth="1"/>
    <col min="13" max="16384" width="11.42578125" style="50"/>
  </cols>
  <sheetData>
    <row r="1" spans="1:12" ht="18.75" thickBot="1" x14ac:dyDescent="0.4">
      <c r="B1" s="112" t="s">
        <v>133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</row>
    <row r="2" spans="1:12" ht="18.75" thickBot="1" x14ac:dyDescent="0.4">
      <c r="F2">
        <f>SUMIFS(Transfert!J4:J81,Transfert!I4:I81,$E$5,Transfert!F4:F81,"2022",Transfert!G4:G81,A7)</f>
        <v>6350</v>
      </c>
    </row>
    <row r="3" spans="1:12" ht="18.75" thickBot="1" x14ac:dyDescent="0.4">
      <c r="B3" s="117" t="s">
        <v>574</v>
      </c>
      <c r="C3" s="118"/>
      <c r="D3" s="118"/>
      <c r="E3" s="118"/>
      <c r="F3" s="118"/>
      <c r="G3" s="118"/>
      <c r="H3" s="119" t="s">
        <v>575</v>
      </c>
      <c r="I3" s="119"/>
      <c r="J3" s="119"/>
      <c r="K3" s="119"/>
    </row>
    <row r="4" spans="1:12" ht="36" customHeight="1" x14ac:dyDescent="0.35">
      <c r="C4" s="120" t="s">
        <v>582</v>
      </c>
      <c r="D4" s="120"/>
      <c r="E4" s="121" t="s">
        <v>579</v>
      </c>
      <c r="F4" s="121"/>
      <c r="I4" s="92" t="s">
        <v>582</v>
      </c>
      <c r="J4" s="122" t="s">
        <v>579</v>
      </c>
      <c r="K4" s="122"/>
      <c r="L4" s="54"/>
    </row>
    <row r="5" spans="1:12" ht="18.75" thickBot="1" x14ac:dyDescent="0.4">
      <c r="B5" s="55" t="s">
        <v>134</v>
      </c>
      <c r="C5" s="78" t="s">
        <v>576</v>
      </c>
      <c r="D5" s="79" t="s">
        <v>127</v>
      </c>
      <c r="E5" s="90" t="s">
        <v>580</v>
      </c>
      <c r="F5" s="91" t="s">
        <v>581</v>
      </c>
      <c r="G5" s="56" t="s">
        <v>135</v>
      </c>
      <c r="H5" s="57" t="s">
        <v>134</v>
      </c>
      <c r="I5" s="72" t="s">
        <v>127</v>
      </c>
      <c r="J5" s="90" t="s">
        <v>580</v>
      </c>
      <c r="K5" s="91" t="s">
        <v>581</v>
      </c>
      <c r="L5" s="57" t="s">
        <v>135</v>
      </c>
    </row>
    <row r="6" spans="1:12" ht="18.75" thickBot="1" x14ac:dyDescent="0.4">
      <c r="B6" s="113" t="s">
        <v>138</v>
      </c>
      <c r="C6" s="114"/>
      <c r="D6" s="114"/>
      <c r="E6" s="114"/>
      <c r="F6" s="114"/>
      <c r="G6" s="85">
        <f>+'[1]RECETTES 19 20 21'!Q75</f>
        <v>27235.719999999972</v>
      </c>
      <c r="H6" s="59"/>
      <c r="I6" s="60"/>
      <c r="J6" s="60"/>
      <c r="K6" s="60"/>
      <c r="L6" s="61"/>
    </row>
    <row r="7" spans="1:12" x14ac:dyDescent="0.35">
      <c r="A7" s="50">
        <v>1</v>
      </c>
      <c r="B7" s="62" t="s">
        <v>139</v>
      </c>
      <c r="C7" s="93">
        <f>'2022'!D158 - SUMIFS(Transfert!J4:J81,Transfert!F4:F81,"2022",Transfert!G4:G81,A7)</f>
        <v>11730</v>
      </c>
      <c r="D7" s="53">
        <f>SUMIFS(Recettes!$J$6:$J$68,Recettes!$D$6:$D$68,$D$5,Recettes!$I$6:$I$68,"2022",Recettes!$H$6:$H$68,A7)</f>
        <v>0</v>
      </c>
      <c r="E7" s="93">
        <f>SUMIFS(Recettes!$J$6:$J$68,Recettes!$F$6:$F$68,$E$5,Recettes!$I$6:$I$68,"2022",Recettes!$H$6:$H$68,A7) + SUMIFS(Transfert!J4:J81,Transfert!I4:I81,$E$5,Transfert!F4:F81,"2022",Transfert!G4:G81,A7)</f>
        <v>9850</v>
      </c>
      <c r="F7" s="93">
        <f ca="1">SUMIFS(Recettes!$J$6:$J$68,Recettes!$F$6:$F$68,$F$5,Recettes!$I$6:$I$68,"2022",Recettes!$H$6:$H$68,A7) + SUMIFS(Transfert!K4:K81,Transfert!J4:J81,$F$5,Transfert!G4:G81,"2022",Transfert!H4:H81,A7)</f>
        <v>0</v>
      </c>
      <c r="G7" s="51"/>
      <c r="H7" s="63" t="s">
        <v>139</v>
      </c>
      <c r="I7" s="53">
        <f>SUMIFS(Dépenses!$K$6:$K$336,Dépenses!$E$6:$E$336,$I$5,Dépenses!$J$6:$J$336,"2022",Dépenses!$I$6:$I$336,A7)</f>
        <v>9975</v>
      </c>
      <c r="J7" s="53">
        <f>SUMIFS(Dépenses!$K$6:$K$336,Dépenses!F6:F336,$J$5,Dépenses!$J$6:$J$336,"2022",Dépenses!$I$6:$I$336,A7)</f>
        <v>13546.96</v>
      </c>
      <c r="K7" s="53">
        <f>SUMIFS(Dépenses!$K$6:$K$336,Dépenses!$F$6:$F$336,$K$5,Dépenses!$J$6:$J$336,"2022",Dépenses!$I$6:$I$336,A7)</f>
        <v>0</v>
      </c>
      <c r="L7" s="52">
        <f t="shared" ref="L7:L19" si="0">SUM(I7:K7)</f>
        <v>23521.96</v>
      </c>
    </row>
    <row r="8" spans="1:12" x14ac:dyDescent="0.35">
      <c r="A8" s="50">
        <v>2</v>
      </c>
      <c r="B8" s="62" t="s">
        <v>140</v>
      </c>
      <c r="C8" s="93">
        <f>'2022'!D159 - SUMIFS(Transfert!J5:J81,Transfert!F5:F81,"2022",Transfert!G5:G81,A8)</f>
        <v>12950</v>
      </c>
      <c r="D8" s="53">
        <f>SUMIFS(Recettes!$J$6:$J$68,Recettes!$D$6:$D$68,$D$5,Recettes!$I$6:$I$68,"2022",Recettes!$H$6:$H$68,A8)</f>
        <v>2830</v>
      </c>
      <c r="E8" s="93">
        <f>SUMIFS(Recettes!$J$6:$J$68,Recettes!$F$6:$F$68,$E$5,Recettes!$I$6:$I$68,"2022",Recettes!$H$6:$H$68,A8) + SUMIFS(Transfert!J5:J81,Transfert!I5:I81,$E$5,Transfert!F5:F81,"2022",Transfert!G5:G81,A8)</f>
        <v>11330</v>
      </c>
      <c r="F8" s="93">
        <f ca="1">SUMIFS(Recettes!$J$6:$J$68,Recettes!$F$6:$F$68,$F$5,Recettes!$I$6:$I$68,"2022",Recettes!$H$6:$H$68,A8) + SUMIFS(Transfert!K5:K81,Transfert!J5:J81,$F$5,Transfert!G5:G81,"2022",Transfert!H5:H81,A8)</f>
        <v>0</v>
      </c>
      <c r="G8" s="52"/>
      <c r="H8" s="63" t="s">
        <v>140</v>
      </c>
      <c r="I8" s="53">
        <f>SUMIFS(Dépenses!$K$6:$K$336,Dépenses!$E$6:$E$336,$I$5,Dépenses!$J$6:$J$336,"2022",Dépenses!$I$6:$I$336,A8)</f>
        <v>10285</v>
      </c>
      <c r="J8" s="53">
        <f>SUMIFS(Dépenses!$K$6:$K$336,Dépenses!F7:F337,$J$5,Dépenses!$J$6:$J$336,"2022",Dépenses!$I$6:$I$336,A8)</f>
        <v>570</v>
      </c>
      <c r="K8" s="53">
        <f>SUMIFS(Dépenses!$K$6:$K$336,Dépenses!$F$6:$F$336,$K$5,Dépenses!$J$6:$J$336,"2022",Dépenses!$I$6:$I$336,A8)</f>
        <v>0</v>
      </c>
      <c r="L8" s="52">
        <f t="shared" si="0"/>
        <v>10855</v>
      </c>
    </row>
    <row r="9" spans="1:12" x14ac:dyDescent="0.35">
      <c r="A9" s="50">
        <v>3</v>
      </c>
      <c r="B9" s="62" t="s">
        <v>7</v>
      </c>
      <c r="C9" s="53">
        <f>'2022'!D160 - SUMIFS(Transfert!J6:J81,Transfert!F6:F81,"2022",Transfert!G6:G81,A9)</f>
        <v>17100</v>
      </c>
      <c r="D9" s="53">
        <f>SUMIFS(Recettes!$J$6:$J$68,Recettes!$D$6:$D$68,$D$5,Recettes!$I$6:$I$68,"2022",Recettes!$H$6:$H$68,A9)</f>
        <v>1870</v>
      </c>
      <c r="E9" s="53">
        <f>SUMIFS(Recettes!$J$6:$J$68,Recettes!$F$6:$F$68,$E$5,Recettes!$I$6:$I$68,"2022",Recettes!$H$6:$H$68,A9) + SUMIFS(Transfert!J6:J81,Transfert!I6:I81,$E$5,Transfert!F6:F81,"2022",Transfert!G6:G81,A9)</f>
        <v>6380</v>
      </c>
      <c r="F9" s="53">
        <f ca="1">SUMIFS(Recettes!$J$6:$J$68,Recettes!$F$6:$F$68,$F$5,Recettes!$I$6:$I$68,"2022",Recettes!$H$6:$H$68,A9) + SUMIFS(Transfert!K6:K81,Transfert!J6:J81,$F$5,Transfert!G6:G81,"2022",Transfert!H6:H81,A9)</f>
        <v>0</v>
      </c>
      <c r="G9" s="52"/>
      <c r="H9" s="63" t="s">
        <v>7</v>
      </c>
      <c r="I9" s="53">
        <f>SUMIFS(Dépenses!$K$6:$K$336,Dépenses!$E$6:$E$336,$I$5,Dépenses!$J$6:$J$336,"2022",Dépenses!$I$6:$I$336,A9)</f>
        <v>9436</v>
      </c>
      <c r="J9" s="53">
        <f>SUMIFS(Dépenses!$K$6:$K$336,Dépenses!F8:F338,$J$5,Dépenses!$J$6:$J$336,"2022",Dépenses!$I$6:$I$336,A9)</f>
        <v>9635.18</v>
      </c>
      <c r="K9" s="53">
        <f>SUMIFS(Dépenses!$K$6:$K$336,Dépenses!$F$6:$F$336,$K$5,Dépenses!$J$6:$J$336,"2022",Dépenses!$I$6:$I$336,A9)</f>
        <v>0</v>
      </c>
      <c r="L9" s="52">
        <f t="shared" si="0"/>
        <v>19071.18</v>
      </c>
    </row>
    <row r="10" spans="1:12" x14ac:dyDescent="0.35">
      <c r="A10" s="50">
        <v>4</v>
      </c>
      <c r="B10" s="62" t="s">
        <v>8</v>
      </c>
      <c r="C10" s="53">
        <f>'2022'!D161 - SUMIFS(Transfert!J7:J81,Transfert!F7:F81,"2022",Transfert!G7:G81,A10)</f>
        <v>8940</v>
      </c>
      <c r="D10" s="53">
        <f>SUMIFS(Recettes!$J$6:$J$68,Recettes!$D$6:$D$68,$D$5,Recettes!$I$6:$I$68,"2022",Recettes!$H$6:$H$68,A10)</f>
        <v>0</v>
      </c>
      <c r="E10" s="53">
        <f>SUMIFS(Recettes!$J$6:$J$68,Recettes!$F$6:$F$68,$E$5,Recettes!$I$6:$I$68,"2022",Recettes!$H$6:$H$68,A10) + SUMIFS(Transfert!J7:J81,Transfert!I7:I81,$E$5,Transfert!F7:F81,"2022",Transfert!G7:G81,A10)</f>
        <v>7550</v>
      </c>
      <c r="F10" s="53">
        <f ca="1">SUMIFS(Recettes!$J$6:$J$68,Recettes!$F$6:$F$68,$F$5,Recettes!$I$6:$I$68,"2022",Recettes!$H$6:$H$68,A10) + SUMIFS(Transfert!K7:K81,Transfert!J7:J81,$F$5,Transfert!G7:G81,"2022",Transfert!H7:H81,A10)</f>
        <v>0</v>
      </c>
      <c r="G10" s="52"/>
      <c r="H10" s="63" t="s">
        <v>8</v>
      </c>
      <c r="I10" s="53">
        <f>SUMIFS(Dépenses!$K$6:$K$336,Dépenses!$E$6:$E$336,$I$5,Dépenses!$J$6:$J$336,"2022",Dépenses!$I$6:$I$336,A10)</f>
        <v>12854</v>
      </c>
      <c r="J10" s="53">
        <f>SUMIFS(Dépenses!$K$6:$K$336,Dépenses!F9:F339,$J$5,Dépenses!$J$6:$J$336,"2022",Dépenses!$I$6:$I$336,A10)</f>
        <v>12485.3</v>
      </c>
      <c r="K10" s="53">
        <f>SUMIFS(Dépenses!$K$6:$K$336,Dépenses!$F$6:$F$336,$K$5,Dépenses!$J$6:$J$336,"2022",Dépenses!$I$6:$I$336,A10)</f>
        <v>0</v>
      </c>
      <c r="L10" s="52">
        <f t="shared" si="0"/>
        <v>25339.3</v>
      </c>
    </row>
    <row r="11" spans="1:12" x14ac:dyDescent="0.35">
      <c r="A11" s="50">
        <v>5</v>
      </c>
      <c r="B11" s="62" t="s">
        <v>9</v>
      </c>
      <c r="C11" s="53">
        <f>'2022'!D162 - SUMIFS(Transfert!J8:J82,Transfert!F8:F82,"2022",Transfert!G8:G82,A11)</f>
        <v>9460</v>
      </c>
      <c r="D11" s="53">
        <f>SUMIFS(Recettes!$J$6:$J$68,Recettes!$D$6:$D$68,$D$5,Recettes!$I$6:$I$68,"2022",Recettes!$H$6:$H$68,A11)</f>
        <v>3740</v>
      </c>
      <c r="E11" s="53">
        <f>SUMIFS(Recettes!$J$6:$J$68,Recettes!$F$6:$F$68,$E$5,Recettes!$I$6:$I$68,"2022",Recettes!$H$6:$H$68,A11) + SUMIFS(Transfert!J8:J82,Transfert!I8:I82,$E$5,Transfert!F8:F82,"2022",Transfert!G8:G82,A11)</f>
        <v>5480</v>
      </c>
      <c r="F11" s="53" t="e">
        <f ca="1">SUMIFS(Recettes!$J$6:$J$68,Recettes!$F$6:$F$68,$F$5,Recettes!$I$6:$I$68,"2022",Recettes!$H$6:$H$68,A11) + SUMIFS(Transfert!K8:K81,Transfert!J8:J82,$F$5,Transfert!G8:G82,"2022",Transfert!H8:H82,A11)</f>
        <v>#VALUE!</v>
      </c>
      <c r="G11" s="52"/>
      <c r="H11" s="63" t="s">
        <v>9</v>
      </c>
      <c r="I11" s="53">
        <f>SUMIFS(Dépenses!$K$6:$K$336,Dépenses!$E$6:$E$336,$I$5,Dépenses!$J$6:$J$336,"2022",Dépenses!$I$6:$I$336,A11)</f>
        <v>10821</v>
      </c>
      <c r="J11" s="53">
        <f>SUMIFS(Dépenses!$K$6:$K$336,Dépenses!F10:F340,$J$5,Dépenses!$J$6:$J$336,"2022",Dépenses!$I$6:$I$336,A11)</f>
        <v>8725</v>
      </c>
      <c r="K11" s="53">
        <f>SUMIFS(Dépenses!$K$6:$K$336,Dépenses!$F$6:$F$336,$K$5,Dépenses!$J$6:$J$336,"2022",Dépenses!$I$6:$I$336,A11)</f>
        <v>0</v>
      </c>
      <c r="L11" s="52">
        <f t="shared" si="0"/>
        <v>19546</v>
      </c>
    </row>
    <row r="12" spans="1:12" x14ac:dyDescent="0.35">
      <c r="A12" s="50">
        <v>6</v>
      </c>
      <c r="B12" s="62" t="s">
        <v>10</v>
      </c>
      <c r="C12" s="53">
        <f>'2022'!D163 - SUMIFS(Transfert!J9:J83,Transfert!F9:F83,"2022",Transfert!G9:G83,A12)</f>
        <v>17390</v>
      </c>
      <c r="D12" s="53">
        <f>SUMIFS(Recettes!$J$6:$J$68,Recettes!$D$6:$D$68,$D$5,Recettes!$I$6:$I$68,"2022",Recettes!$H$6:$H$68,A12)</f>
        <v>0</v>
      </c>
      <c r="E12" s="53">
        <f>SUMIFS(Recettes!$J$6:$J$68,Recettes!$F$6:$F$68,$E$5,Recettes!$I$6:$I$68,"2022",Recettes!$H$6:$H$68,A12) + SUMIFS(Transfert!J9:J83,Transfert!I9:I83,$E$5,Transfert!F9:F83,"2022",Transfert!G9:G83,A12)</f>
        <v>3690</v>
      </c>
      <c r="F12" s="53" t="e">
        <f ca="1">SUMIFS(Recettes!$J$6:$J$68,Recettes!$F$6:$F$68,$F$5,Recettes!$I$6:$I$68,"2022",Recettes!$H$6:$H$68,A12) + SUMIFS(Transfert!K9:K81,Transfert!J9:J83,$F$5,Transfert!G9:G83,"2022",Transfert!H9:H83,A12)</f>
        <v>#VALUE!</v>
      </c>
      <c r="G12" s="52"/>
      <c r="H12" s="63" t="s">
        <v>10</v>
      </c>
      <c r="I12" s="53">
        <f>SUMIFS(Dépenses!$K$6:$K$336,Dépenses!$E$6:$E$336,$I$5,Dépenses!$J$6:$J$336,"2022",Dépenses!$I$6:$I$336,A12)</f>
        <v>13523</v>
      </c>
      <c r="J12" s="53">
        <f>SUMIFS(Dépenses!$K$6:$K$336,Dépenses!F11:F341,$J$5,Dépenses!$J$6:$J$336,"2022",Dépenses!$I$6:$I$336,A12)</f>
        <v>198</v>
      </c>
      <c r="K12" s="53">
        <f>SUMIFS(Dépenses!$K$6:$K$336,Dépenses!$F$6:$F$336,$K$5,Dépenses!$J$6:$J$336,"2022",Dépenses!$I$6:$I$336,A12)</f>
        <v>0</v>
      </c>
      <c r="L12" s="52">
        <f t="shared" si="0"/>
        <v>13721</v>
      </c>
    </row>
    <row r="13" spans="1:12" x14ac:dyDescent="0.35">
      <c r="A13" s="50">
        <v>7</v>
      </c>
      <c r="B13" s="62" t="s">
        <v>11</v>
      </c>
      <c r="C13" s="53">
        <f>'2022'!D164 - SUMIFS(Transfert!J10:J84,Transfert!F10:F84,"2022",Transfert!G10:G84,A13)</f>
        <v>13330</v>
      </c>
      <c r="D13" s="53">
        <f>SUMIFS(Recettes!$J$6:$J$68,Recettes!$D$6:$D$68,$D$5,Recettes!$I$6:$I$68,"2022",Recettes!$H$6:$H$68,A13)</f>
        <v>1870</v>
      </c>
      <c r="E13" s="53">
        <f>SUMIFS(Recettes!$J$6:$J$68,Recettes!$F$6:$F$68,$E$5,Recettes!$I$6:$I$68,"2022",Recettes!$H$6:$H$68,A13) + SUMIFS(Transfert!J10:J84,Transfert!I10:I84,$E$5,Transfert!F10:F84,"2022",Transfert!G10:G84,A13)</f>
        <v>3500</v>
      </c>
      <c r="F13" s="53" t="e">
        <f ca="1">SUMIFS(Recettes!$J$6:$J$68,Recettes!$F$6:$F$68,$F$5,Recettes!$I$6:$I$68,"2022",Recettes!$H$6:$H$68,A13) + SUMIFS(Transfert!K10:K81,Transfert!J10:J84,$F$5,Transfert!G10:G84,"2022",Transfert!H10:H84,A13)</f>
        <v>#VALUE!</v>
      </c>
      <c r="G13" s="52"/>
      <c r="H13" s="63" t="s">
        <v>11</v>
      </c>
      <c r="I13" s="53">
        <f>SUMIFS(Dépenses!$K$6:$K$336,Dépenses!$E$6:$E$336,$I$5,Dépenses!$J$6:$J$336,"2022",Dépenses!$I$6:$I$336,A13)</f>
        <v>10960</v>
      </c>
      <c r="J13" s="53">
        <f>SUMIFS(Dépenses!$K$6:$K$336,Dépenses!F12:F342,$J$5,Dépenses!$J$6:$J$336,"2022",Dépenses!$I$6:$I$336,A13)</f>
        <v>399</v>
      </c>
      <c r="K13" s="53">
        <f>SUMIFS(Dépenses!$K$6:$K$336,Dépenses!$F$6:$F$336,$K$5,Dépenses!$J$6:$J$336,"2022",Dépenses!$I$6:$I$336,A13)</f>
        <v>0</v>
      </c>
      <c r="L13" s="52">
        <f t="shared" si="0"/>
        <v>11359</v>
      </c>
    </row>
    <row r="14" spans="1:12" x14ac:dyDescent="0.35">
      <c r="A14" s="50">
        <v>8</v>
      </c>
      <c r="B14" s="62" t="s">
        <v>141</v>
      </c>
      <c r="C14" s="53">
        <f>'2022'!D165 - SUMIFS(Transfert!J11:J85,Transfert!F11:F85,"2022",Transfert!G11:G85,A14)</f>
        <v>11030</v>
      </c>
      <c r="D14" s="53">
        <f>SUMIFS(Recettes!$J$6:$J$68,Recettes!$D$6:$D$68,$D$5,Recettes!$I$6:$I$68,"2022",Recettes!$H$6:$H$68,A14)</f>
        <v>3929</v>
      </c>
      <c r="E14" s="53">
        <f>SUMIFS(Recettes!$J$6:$J$68,Recettes!$F$6:$F$68,$E$5,Recettes!$I$6:$I$68,"2022",Recettes!$H$6:$H$68,A14) + SUMIFS(Transfert!J11:J85,Transfert!I11:I85,$E$5,Transfert!F11:F85,"2022",Transfert!G11:G85,A14)</f>
        <v>3500</v>
      </c>
      <c r="F14" s="53" t="e">
        <f ca="1">SUMIFS(Recettes!$J$6:$J$68,Recettes!$F$6:$F$68,$F$5,Recettes!$I$6:$I$68,"2022",Recettes!$H$6:$H$68,A14) + SUMIFS(Transfert!K11:K82,Transfert!J11:J85,$F$5,Transfert!G11:G85,"2022",Transfert!H11:H85,A14)</f>
        <v>#VALUE!</v>
      </c>
      <c r="G14" s="52"/>
      <c r="H14" s="63" t="s">
        <v>141</v>
      </c>
      <c r="I14" s="53">
        <f>SUMIFS(Dépenses!$K$6:$K$336,Dépenses!$E$6:$E$336,$I$5,Dépenses!$J$6:$J$336,"2022",Dépenses!$I$6:$I$336,A14)</f>
        <v>11241</v>
      </c>
      <c r="J14" s="53">
        <f>SUMIFS(Dépenses!$K$6:$K$336,Dépenses!F13:F343,$J$5,Dépenses!$J$6:$J$336,"2022",Dépenses!$I$6:$I$336,A14)</f>
        <v>914</v>
      </c>
      <c r="K14" s="53">
        <f>SUMIFS(Dépenses!$K$6:$K$336,Dépenses!$F$6:$F$336,$K$5,Dépenses!$J$6:$J$336,"2022",Dépenses!$I$6:$I$336,A14)</f>
        <v>0</v>
      </c>
      <c r="L14" s="52">
        <f t="shared" si="0"/>
        <v>12155</v>
      </c>
    </row>
    <row r="15" spans="1:12" x14ac:dyDescent="0.35">
      <c r="A15" s="50">
        <v>9</v>
      </c>
      <c r="B15" s="62" t="s">
        <v>142</v>
      </c>
      <c r="C15" s="53">
        <f>'2022'!D166 - SUMIFS(Transfert!J12:J86,Transfert!F12:F86,"2022",Transfert!G12:G86,A15)</f>
        <v>13530</v>
      </c>
      <c r="D15" s="53">
        <f>SUMIFS(Recettes!$J$6:$J$68,Recettes!$D$6:$D$68,$D$5,Recettes!$I$6:$I$68,"2022",Recettes!$H$6:$H$68,A15)</f>
        <v>5504</v>
      </c>
      <c r="E15" s="53">
        <f>SUMIFS(Recettes!$J$6:$J$68,Recettes!$F$6:$F$68,$E$5,Recettes!$I$6:$I$68,"2022",Recettes!$H$6:$H$68,A15) + SUMIFS(Transfert!J12:J86,Transfert!I12:I86,$E$5,Transfert!F12:F86,"2022",Transfert!G12:G86,A15)</f>
        <v>3500</v>
      </c>
      <c r="F15" s="53" t="e">
        <f ca="1">SUMIFS(Recettes!$J$6:$J$68,Recettes!$F$6:$F$68,$F$5,Recettes!$I$6:$I$68,"2022",Recettes!$H$6:$H$68,A15) + SUMIFS(Transfert!K12:K83,Transfert!J12:J86,$F$5,Transfert!G12:G86,"2022",Transfert!H12:H86,A15)</f>
        <v>#VALUE!</v>
      </c>
      <c r="G15" s="52"/>
      <c r="H15" s="63" t="s">
        <v>142</v>
      </c>
      <c r="I15" s="53">
        <f>SUMIFS(Dépenses!$K$6:$K$336,Dépenses!$E$6:$E$336,$I$5,Dépenses!$J$6:$J$336,"2022",Dépenses!$I$6:$I$336,A15)</f>
        <v>10538</v>
      </c>
      <c r="J15" s="53">
        <f>SUMIFS(Dépenses!$K$6:$K$336,Dépenses!F14:F344,$J$5,Dépenses!$J$6:$J$336,"2022",Dépenses!$I$6:$I$336,A15)</f>
        <v>4577</v>
      </c>
      <c r="K15" s="53">
        <f>SUMIFS(Dépenses!$K$6:$K$336,Dépenses!$F$6:$F$336,$K$5,Dépenses!$J$6:$J$336,"2022",Dépenses!$I$6:$I$336,A15)</f>
        <v>0</v>
      </c>
      <c r="L15" s="52">
        <f t="shared" si="0"/>
        <v>15115</v>
      </c>
    </row>
    <row r="16" spans="1:12" x14ac:dyDescent="0.35">
      <c r="A16" s="50">
        <v>10</v>
      </c>
      <c r="B16" s="62" t="s">
        <v>143</v>
      </c>
      <c r="C16" s="53">
        <f>'2022'!D167 - SUMIFS(Transfert!J13:J87,Transfert!F13:F87,"2022",Transfert!G13:G87,A16)</f>
        <v>13930</v>
      </c>
      <c r="D16" s="53">
        <f>SUMIFS(Recettes!$J$6:$J$68,Recettes!$D$6:$D$68,$D$5,Recettes!$I$6:$I$68,"2022",Recettes!$H$6:$H$68,A16)</f>
        <v>452</v>
      </c>
      <c r="E16" s="53">
        <f>SUMIFS(Recettes!$J$6:$J$68,Recettes!$F$6:$F$68,$E$5,Recettes!$I$6:$I$68,"2022",Recettes!$H$6:$H$68,A16) + SUMIFS(Transfert!J13:J87,Transfert!I13:I87,$E$5,Transfert!F13:F87,"2022",Transfert!G13:G87,A16)</f>
        <v>3500</v>
      </c>
      <c r="F16" s="53" t="e">
        <f ca="1">SUMIFS(Recettes!$J$6:$J$68,Recettes!$F$6:$F$68,$F$5,Recettes!$I$6:$I$68,"2022",Recettes!$H$6:$H$68,A16) + SUMIFS(Transfert!K13:K84,Transfert!J13:J87,$F$5,Transfert!G13:G87,"2022",Transfert!H13:H87,A16)</f>
        <v>#VALUE!</v>
      </c>
      <c r="G16" s="52"/>
      <c r="H16" s="63" t="s">
        <v>143</v>
      </c>
      <c r="I16" s="53">
        <f>SUMIFS(Dépenses!$K$6:$K$336,Dépenses!$E$6:$E$336,$I$5,Dépenses!$J$6:$J$336,"2022",Dépenses!$I$6:$I$336,A16)</f>
        <v>10814</v>
      </c>
      <c r="J16" s="53">
        <f>SUMIFS(Dépenses!$K$6:$K$336,Dépenses!F15:F345,$J$5,Dépenses!$J$6:$J$336,"2022",Dépenses!$I$6:$I$336,A16)</f>
        <v>6059.27</v>
      </c>
      <c r="K16" s="53">
        <f>SUMIFS(Dépenses!$K$6:$K$336,Dépenses!$F$6:$F$336,$K$5,Dépenses!$J$6:$J$336,"2022",Dépenses!$I$6:$I$336,A16)</f>
        <v>21960</v>
      </c>
      <c r="L16" s="52">
        <f t="shared" si="0"/>
        <v>38833.270000000004</v>
      </c>
    </row>
    <row r="17" spans="1:12" x14ac:dyDescent="0.35">
      <c r="A17" s="50">
        <v>11</v>
      </c>
      <c r="B17" s="62" t="s">
        <v>144</v>
      </c>
      <c r="C17" s="53">
        <f>'2022'!D168 - SUMIFS(Transfert!J14:J88,Transfert!F14:F88,"2022",Transfert!G14:G88,A17)</f>
        <v>10900</v>
      </c>
      <c r="D17" s="53">
        <f>SUMIFS(Recettes!$J$6:$J$68,Recettes!$D$6:$D$68,$D$5,Recettes!$I$6:$I$68,"2022",Recettes!$H$6:$H$68,A17)</f>
        <v>368</v>
      </c>
      <c r="E17" s="53">
        <f>SUMIFS(Recettes!$J$6:$J$68,Recettes!$F$6:$F$68,$E$5,Recettes!$I$6:$I$68,"2022",Recettes!$H$6:$H$68,A17) + SUMIFS(Transfert!J14:J88,Transfert!I14:I88,$E$5,Transfert!F14:F88,"2022",Transfert!G14:G88,A17)</f>
        <v>3500</v>
      </c>
      <c r="F17" s="53" t="e">
        <f ca="1">SUMIFS(Recettes!$J$6:$J$68,Recettes!$F$6:$F$68,$F$5,Recettes!$I$6:$I$68,"2022",Recettes!$H$6:$H$68,A17) + SUMIFS(Transfert!K14:K85,Transfert!J14:J88,$F$5,Transfert!G14:G88,"2022",Transfert!H14:H88,A17)</f>
        <v>#VALUE!</v>
      </c>
      <c r="G17" s="52"/>
      <c r="H17" s="63" t="s">
        <v>144</v>
      </c>
      <c r="I17" s="53">
        <f>SUMIFS(Dépenses!$K$6:$K$336,Dépenses!$E$6:$E$336,$I$5,Dépenses!$J$6:$J$336,"2022",Dépenses!$I$6:$I$336,A17)</f>
        <v>10015</v>
      </c>
      <c r="J17" s="53">
        <f>SUMIFS(Dépenses!$K$6:$K$336,Dépenses!F16:F346,$J$5,Dépenses!$J$6:$J$336,"2022",Dépenses!$I$6:$I$336,A17)</f>
        <v>3590.9900000000002</v>
      </c>
      <c r="K17" s="53">
        <f>SUMIFS(Dépenses!$K$6:$K$336,Dépenses!$F$6:$F$336,$K$5,Dépenses!$J$6:$J$336,"2022",Dépenses!$I$6:$I$336,A17)</f>
        <v>0</v>
      </c>
      <c r="L17" s="52">
        <f t="shared" si="0"/>
        <v>13605.99</v>
      </c>
    </row>
    <row r="18" spans="1:12" x14ac:dyDescent="0.35">
      <c r="A18" s="50">
        <v>12</v>
      </c>
      <c r="B18" s="62" t="s">
        <v>145</v>
      </c>
      <c r="C18" s="53">
        <f>'2022'!D169 - SUMIFS(Transfert!J15:J89,Transfert!F15:F89,"2022",Transfert!G15:G89,A18)</f>
        <v>17629</v>
      </c>
      <c r="D18" s="53">
        <f>SUMIFS(Recettes!$J$6:$J$68,Recettes!$D$6:$D$68,$D$5,Recettes!$I$6:$I$68,"2022",Recettes!$H$6:$H$68,A18)</f>
        <v>2274</v>
      </c>
      <c r="E18" s="53">
        <f>SUMIFS(Recettes!$J$6:$J$68,Recettes!$F$6:$F$68,$E$5,Recettes!$I$6:$I$68,"2022",Recettes!$H$6:$H$68,A18) + SUMIFS(Transfert!J15:J89,Transfert!I15:I89,$E$5,Transfert!F15:F89,"2022",Transfert!G15:G89,A18)</f>
        <v>3500</v>
      </c>
      <c r="F18" s="53" t="e">
        <f ca="1">SUMIFS(Recettes!$J$6:$J$68,Recettes!$F$6:$F$68,$F$5,Recettes!$I$6:$I$68,"2022",Recettes!$H$6:$H$68,A18) + SUMIFS(Transfert!K15:K86,Transfert!J15:J89,$F$5,Transfert!G15:G89,"2022",Transfert!H15:H89,A18)</f>
        <v>#VALUE!</v>
      </c>
      <c r="G18" s="52"/>
      <c r="H18" s="63" t="s">
        <v>145</v>
      </c>
      <c r="I18" s="53">
        <f>SUMIFS(Dépenses!$K$6:$K$336,Dépenses!$E$6:$E$336,$I$5,Dépenses!$J$6:$J$336,"2022",Dépenses!$I$6:$I$336,A18)</f>
        <v>11825</v>
      </c>
      <c r="J18" s="53">
        <f>SUMIFS(Dépenses!$K$6:$K$336,Dépenses!F17:F347,$J$5,Dépenses!$J$6:$J$336,"2022",Dépenses!$I$6:$I$336,A18)</f>
        <v>1064</v>
      </c>
      <c r="K18" s="53">
        <f>SUMIFS(Dépenses!$K$6:$K$336,Dépenses!$F$6:$F$336,$K$5,Dépenses!$J$6:$J$336,"2022",Dépenses!$I$6:$I$336,A18)</f>
        <v>0</v>
      </c>
      <c r="L18" s="52">
        <f t="shared" si="0"/>
        <v>12889</v>
      </c>
    </row>
    <row r="19" spans="1:12" x14ac:dyDescent="0.35">
      <c r="B19" s="63" t="s">
        <v>146</v>
      </c>
      <c r="C19" s="64">
        <f>SUM(C7:C18)</f>
        <v>157919</v>
      </c>
      <c r="D19" s="64">
        <f>SUM(D7:D18)</f>
        <v>22837</v>
      </c>
      <c r="E19" s="64">
        <f t="shared" ref="E19:F19" si="1">SUM(E7:E18)</f>
        <v>65280</v>
      </c>
      <c r="F19" s="64" t="e">
        <f t="shared" ca="1" si="1"/>
        <v>#VALUE!</v>
      </c>
      <c r="G19" s="64" t="e">
        <f ca="1">+D19+#REF!+#REF!+F19</f>
        <v>#REF!</v>
      </c>
      <c r="H19" s="63" t="s">
        <v>146</v>
      </c>
      <c r="I19" s="84">
        <f>SUM(I7:I18)</f>
        <v>132287</v>
      </c>
      <c r="J19" s="84">
        <f t="shared" ref="J19:K19" si="2">SUM(J7:J18)</f>
        <v>61764.700000000004</v>
      </c>
      <c r="K19" s="84">
        <f t="shared" si="2"/>
        <v>21960</v>
      </c>
      <c r="L19" s="82">
        <f t="shared" si="0"/>
        <v>216011.7</v>
      </c>
    </row>
    <row r="20" spans="1:12" ht="18.75" thickBot="1" x14ac:dyDescent="0.4">
      <c r="B20" s="65" t="s">
        <v>147</v>
      </c>
      <c r="C20" s="66"/>
      <c r="D20" s="66"/>
      <c r="E20" s="66"/>
      <c r="F20" s="67"/>
      <c r="G20" s="86" t="e">
        <f ca="1">+G6+G19</f>
        <v>#REF!</v>
      </c>
      <c r="H20" s="115"/>
      <c r="I20" s="116"/>
      <c r="J20" s="116"/>
      <c r="K20" s="116"/>
      <c r="L20" s="83">
        <f>+L6+L19</f>
        <v>216011.7</v>
      </c>
    </row>
    <row r="21" spans="1:12" ht="18.75" thickBot="1" x14ac:dyDescent="0.4">
      <c r="B21" s="69" t="s">
        <v>148</v>
      </c>
      <c r="C21" s="70"/>
      <c r="D21" s="70"/>
      <c r="E21" s="70"/>
      <c r="F21" s="70"/>
      <c r="G21" s="70"/>
      <c r="H21" s="70"/>
      <c r="I21" s="70"/>
      <c r="J21" s="70"/>
      <c r="K21" s="70"/>
      <c r="L21" s="58" t="e">
        <f ca="1">+G20-L20</f>
        <v>#REF!</v>
      </c>
    </row>
    <row r="26" spans="1:12" x14ac:dyDescent="0.35">
      <c r="G26" s="71"/>
    </row>
  </sheetData>
  <mergeCells count="8">
    <mergeCell ref="B1:L1"/>
    <mergeCell ref="B6:F6"/>
    <mergeCell ref="H20:K20"/>
    <mergeCell ref="B3:G3"/>
    <mergeCell ref="H3:K3"/>
    <mergeCell ref="C4:D4"/>
    <mergeCell ref="E4:F4"/>
    <mergeCell ref="J4:K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B793D-CBA5-43A6-B76F-B247C4A39312}">
  <dimension ref="A1:O7"/>
  <sheetViews>
    <sheetView showGridLines="0" workbookViewId="0">
      <selection activeCell="C6" sqref="C6"/>
    </sheetView>
  </sheetViews>
  <sheetFormatPr defaultColWidth="11.42578125" defaultRowHeight="15" x14ac:dyDescent="0.25"/>
  <cols>
    <col min="1" max="1" width="17.5703125" bestFit="1" customWidth="1"/>
    <col min="3" max="4" width="15.5703125" customWidth="1"/>
    <col min="8" max="8" width="22.5703125" bestFit="1" customWidth="1"/>
    <col min="9" max="9" width="3.85546875" customWidth="1"/>
    <col min="10" max="10" width="28.85546875" bestFit="1" customWidth="1"/>
    <col min="11" max="11" width="24.42578125" customWidth="1"/>
    <col min="12" max="12" width="21.28515625" customWidth="1"/>
    <col min="13" max="13" width="21.7109375" bestFit="1" customWidth="1"/>
    <col min="14" max="14" width="53.7109375" bestFit="1" customWidth="1"/>
    <col min="15" max="15" width="23.85546875" customWidth="1"/>
  </cols>
  <sheetData>
    <row r="1" spans="1:15" x14ac:dyDescent="0.25">
      <c r="A1" t="s">
        <v>122</v>
      </c>
      <c r="C1" t="s">
        <v>126</v>
      </c>
      <c r="F1" t="s">
        <v>2</v>
      </c>
      <c r="H1" t="s">
        <v>151</v>
      </c>
      <c r="J1" t="s">
        <v>384</v>
      </c>
      <c r="K1" t="s">
        <v>155</v>
      </c>
      <c r="L1" t="s">
        <v>156</v>
      </c>
      <c r="M1" t="s">
        <v>165</v>
      </c>
      <c r="N1" t="s">
        <v>269</v>
      </c>
      <c r="O1" t="s">
        <v>160</v>
      </c>
    </row>
    <row r="2" spans="1:15" x14ac:dyDescent="0.25">
      <c r="A2" t="s">
        <v>203</v>
      </c>
      <c r="C2" t="s">
        <v>127</v>
      </c>
      <c r="F2">
        <v>2022</v>
      </c>
      <c r="H2" t="s">
        <v>384</v>
      </c>
      <c r="J2" t="s">
        <v>152</v>
      </c>
      <c r="K2" t="s">
        <v>136</v>
      </c>
      <c r="L2" t="s">
        <v>157</v>
      </c>
      <c r="M2" t="s">
        <v>166</v>
      </c>
      <c r="N2" t="s">
        <v>163</v>
      </c>
      <c r="O2" t="s">
        <v>368</v>
      </c>
    </row>
    <row r="3" spans="1:15" x14ac:dyDescent="0.25">
      <c r="A3" t="s">
        <v>202</v>
      </c>
      <c r="C3" t="s">
        <v>128</v>
      </c>
      <c r="F3">
        <v>2023</v>
      </c>
      <c r="H3" t="s">
        <v>269</v>
      </c>
      <c r="J3" t="s">
        <v>153</v>
      </c>
      <c r="K3" t="s">
        <v>137</v>
      </c>
      <c r="L3" t="s">
        <v>158</v>
      </c>
      <c r="M3" t="s">
        <v>167</v>
      </c>
      <c r="N3" t="s">
        <v>164</v>
      </c>
      <c r="O3" t="s">
        <v>161</v>
      </c>
    </row>
    <row r="4" spans="1:15" x14ac:dyDescent="0.25">
      <c r="A4" t="s">
        <v>208</v>
      </c>
      <c r="C4" t="s">
        <v>132</v>
      </c>
      <c r="H4" t="s">
        <v>155</v>
      </c>
      <c r="J4" t="s">
        <v>154</v>
      </c>
      <c r="L4" t="s">
        <v>159</v>
      </c>
      <c r="N4" t="s">
        <v>419</v>
      </c>
      <c r="O4" t="s">
        <v>162</v>
      </c>
    </row>
    <row r="5" spans="1:15" x14ac:dyDescent="0.25">
      <c r="A5" t="s">
        <v>125</v>
      </c>
      <c r="C5" t="s">
        <v>577</v>
      </c>
      <c r="H5" t="s">
        <v>156</v>
      </c>
      <c r="J5" t="s">
        <v>329</v>
      </c>
      <c r="L5" t="s">
        <v>275</v>
      </c>
      <c r="N5" t="s">
        <v>275</v>
      </c>
      <c r="O5" t="s">
        <v>391</v>
      </c>
    </row>
    <row r="6" spans="1:15" x14ac:dyDescent="0.25">
      <c r="A6" t="s">
        <v>237</v>
      </c>
      <c r="C6" t="s">
        <v>333</v>
      </c>
      <c r="H6" t="s">
        <v>160</v>
      </c>
    </row>
    <row r="7" spans="1:15" x14ac:dyDescent="0.25">
      <c r="H7" t="s">
        <v>165</v>
      </c>
    </row>
  </sheetData>
  <phoneticPr fontId="12" type="noConversion"/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C72D-7F16-4A4C-9D1E-6EFF7A1F8BC2}">
  <sheetPr>
    <tabColor theme="8" tint="-0.249977111117893"/>
  </sheetPr>
  <dimension ref="A1:X26"/>
  <sheetViews>
    <sheetView showGridLines="0" zoomScaleNormal="100" workbookViewId="0">
      <selection activeCell="E4" sqref="E4:F4"/>
    </sheetView>
  </sheetViews>
  <sheetFormatPr defaultColWidth="11.42578125" defaultRowHeight="18" x14ac:dyDescent="0.35"/>
  <cols>
    <col min="1" max="1" width="4.42578125" style="50" bestFit="1" customWidth="1"/>
    <col min="2" max="2" width="11.42578125" style="50"/>
    <col min="3" max="3" width="15.85546875" style="50" bestFit="1" customWidth="1"/>
    <col min="4" max="4" width="14.5703125" style="50" bestFit="1" customWidth="1"/>
    <col min="5" max="6" width="15.140625" style="50" customWidth="1"/>
    <col min="7" max="7" width="14.140625" style="50" customWidth="1"/>
    <col min="8" max="8" width="11.42578125" style="50"/>
    <col min="9" max="9" width="14.28515625" style="50" bestFit="1" customWidth="1"/>
    <col min="10" max="10" width="18" style="50" bestFit="1" customWidth="1"/>
    <col min="11" max="11" width="12.5703125" style="50" bestFit="1" customWidth="1"/>
    <col min="12" max="12" width="12.85546875" style="50" bestFit="1" customWidth="1"/>
    <col min="13" max="13" width="13" style="50" customWidth="1"/>
    <col min="14" max="14" width="13.140625" style="50" customWidth="1"/>
    <col min="15" max="15" width="11.85546875" style="50" customWidth="1"/>
    <col min="16" max="16" width="12" style="50" customWidth="1"/>
    <col min="17" max="17" width="12.85546875" style="50" customWidth="1"/>
    <col min="18" max="18" width="9.42578125" style="50" customWidth="1"/>
    <col min="19" max="19" width="12" style="50" customWidth="1"/>
    <col min="20" max="22" width="12.85546875" style="50" customWidth="1"/>
    <col min="23" max="23" width="14" style="50" bestFit="1" customWidth="1"/>
    <col min="24" max="24" width="20.28515625" style="50" customWidth="1"/>
    <col min="25" max="16384" width="11.42578125" style="50"/>
  </cols>
  <sheetData>
    <row r="1" spans="1:24" ht="18.75" thickBot="1" x14ac:dyDescent="0.4">
      <c r="B1" s="112" t="s">
        <v>133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</row>
    <row r="2" spans="1:24" ht="18.75" thickBot="1" x14ac:dyDescent="0.4">
      <c r="F2">
        <f>SUMIFS(Transfert!J4:J81,Transfert!I4:I81,$E$5,Transfert!F4:F81,"2022",Transfert!G4:G81,A7)</f>
        <v>6350</v>
      </c>
    </row>
    <row r="3" spans="1:24" ht="18.75" thickBot="1" x14ac:dyDescent="0.4">
      <c r="B3" s="117" t="s">
        <v>574</v>
      </c>
      <c r="C3" s="118"/>
      <c r="D3" s="118"/>
      <c r="E3" s="118"/>
      <c r="F3" s="118"/>
      <c r="G3" s="124"/>
      <c r="H3" s="125" t="s">
        <v>575</v>
      </c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</row>
    <row r="4" spans="1:24" ht="36" customHeight="1" x14ac:dyDescent="0.35">
      <c r="C4" s="120" t="s">
        <v>582</v>
      </c>
      <c r="D4" s="120"/>
      <c r="E4" s="121" t="s">
        <v>579</v>
      </c>
      <c r="F4" s="121"/>
      <c r="I4" s="74" t="s">
        <v>152</v>
      </c>
      <c r="J4" s="80" t="s">
        <v>329</v>
      </c>
      <c r="K4" s="75" t="s">
        <v>578</v>
      </c>
      <c r="L4" s="73" t="s">
        <v>136</v>
      </c>
      <c r="M4" s="81" t="s">
        <v>137</v>
      </c>
      <c r="N4" s="75" t="s">
        <v>159</v>
      </c>
      <c r="O4" s="75" t="s">
        <v>161</v>
      </c>
      <c r="P4" s="76" t="s">
        <v>313</v>
      </c>
      <c r="Q4" s="75" t="s">
        <v>368</v>
      </c>
      <c r="R4" s="127" t="s">
        <v>164</v>
      </c>
      <c r="S4" s="128"/>
      <c r="T4" s="77" t="s">
        <v>162</v>
      </c>
      <c r="U4" s="77" t="s">
        <v>158</v>
      </c>
      <c r="V4" s="75" t="s">
        <v>157</v>
      </c>
      <c r="W4" s="75" t="s">
        <v>163</v>
      </c>
      <c r="X4" s="54"/>
    </row>
    <row r="5" spans="1:24" ht="18.75" thickBot="1" x14ac:dyDescent="0.4">
      <c r="B5" s="55" t="s">
        <v>134</v>
      </c>
      <c r="C5" s="78" t="s">
        <v>576</v>
      </c>
      <c r="D5" s="79" t="s">
        <v>127</v>
      </c>
      <c r="E5" s="90" t="s">
        <v>580</v>
      </c>
      <c r="F5" s="91" t="s">
        <v>581</v>
      </c>
      <c r="G5" s="56" t="s">
        <v>135</v>
      </c>
      <c r="H5" s="57" t="s">
        <v>134</v>
      </c>
      <c r="I5" s="72" t="s">
        <v>127</v>
      </c>
      <c r="J5" s="73" t="s">
        <v>333</v>
      </c>
      <c r="K5" s="73" t="s">
        <v>127</v>
      </c>
      <c r="L5" s="73" t="s">
        <v>128</v>
      </c>
      <c r="M5" s="73" t="s">
        <v>333</v>
      </c>
      <c r="N5" s="73" t="s">
        <v>127</v>
      </c>
      <c r="O5" s="73" t="s">
        <v>127</v>
      </c>
      <c r="P5" s="73" t="s">
        <v>127</v>
      </c>
      <c r="Q5" s="73" t="s">
        <v>127</v>
      </c>
      <c r="R5" s="73" t="s">
        <v>127</v>
      </c>
      <c r="S5" s="73" t="s">
        <v>128</v>
      </c>
      <c r="T5" s="73" t="s">
        <v>127</v>
      </c>
      <c r="U5" s="73" t="s">
        <v>127</v>
      </c>
      <c r="V5" s="73" t="s">
        <v>127</v>
      </c>
      <c r="W5" s="73" t="s">
        <v>128</v>
      </c>
      <c r="X5" s="57" t="s">
        <v>135</v>
      </c>
    </row>
    <row r="6" spans="1:24" ht="18.75" thickBot="1" x14ac:dyDescent="0.4">
      <c r="B6" s="113" t="s">
        <v>138</v>
      </c>
      <c r="C6" s="114"/>
      <c r="D6" s="114"/>
      <c r="E6" s="114"/>
      <c r="F6" s="114"/>
      <c r="G6" s="85">
        <f>+'[1]RECETTES 19 20 21'!Q75</f>
        <v>27235.719999999972</v>
      </c>
      <c r="H6" s="59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1"/>
    </row>
    <row r="7" spans="1:24" x14ac:dyDescent="0.35">
      <c r="A7" s="50">
        <v>1</v>
      </c>
      <c r="B7" s="62" t="s">
        <v>139</v>
      </c>
      <c r="C7" s="93">
        <f>'2022'!D158 - SUMIFS(Transfert!J4:J81,Transfert!F4:F81,"2022",Transfert!G4:G81,A7)</f>
        <v>11730</v>
      </c>
      <c r="D7" s="53">
        <f>SUMIFS(Recettes!$J$6:$J$68,Recettes!$D$6:$D$68,$D$5,Recettes!$I$6:$I$68,"2022",Recettes!$H$6:$H$68,A7)</f>
        <v>0</v>
      </c>
      <c r="E7" s="93">
        <f>SUMIFS(Recettes!$J$6:$J$68,Recettes!$F$6:$F$68,$E$5,Recettes!$I$6:$I$68,"2022",Recettes!$H$6:$H$68,A7) + SUMIFS(Transfert!J4:J81,Transfert!I4:I81,$E$5,Transfert!F4:F81,"2022",Transfert!G4:G81,A7)</f>
        <v>9850</v>
      </c>
      <c r="F7" s="93">
        <f ca="1">SUMIFS(Recettes!$J$6:$J$68,Recettes!$F$6:$F$68,$F$5,Recettes!$I$6:$I$68,"2022",Recettes!$H$6:$H$68,A7) + SUMIFS(Transfert!K4:K81,Transfert!J4:J81,$F$5,Transfert!G4:G81,"2022",Transfert!H4:H81,A7)</f>
        <v>0</v>
      </c>
      <c r="G7" s="51"/>
      <c r="H7" s="63" t="s">
        <v>139</v>
      </c>
      <c r="I7" s="53">
        <f>SUMIFS(Dépenses!$K$6:$K$336,Dépenses!$E$6:$E$336,$I$5,Dépenses!$J$6:$J$336,"2022",Dépenses!$I$6:$I$336,A7,Dépenses!$C$6:$C$336,$I$4)</f>
        <v>8700</v>
      </c>
      <c r="J7" s="53">
        <f>SUMIFS(Dépenses!$K$6:$K$336,Dépenses!$E$6:$E$336,$J$5,Dépenses!$J$6:$J$336,"2022",Dépenses!$I$6:$I$336,A7,Dépenses!$C$6:$C$336,$J$4)</f>
        <v>0</v>
      </c>
      <c r="K7" s="53">
        <f>SUMIFS(Dépenses!$K$6:$K$336,Dépenses!$C$6:$C$336,"Primes Annuelles - Aid El Fitr",Dépenses!$J$6:$J$336,"2022",Dépenses!$I$6:$I$336,A7) + SUMIFS(Dépenses!$K$6:$K$336,Dépenses!$C$6:$C$336,"Primes Annuelles - Aid Al Adha",Dépenses!$J$6:$J$336,"2022",Dépenses!$I$6:$I$336,A7)</f>
        <v>0</v>
      </c>
      <c r="L7" s="53">
        <f>SUMIFS(Dépenses!$K$6:$K$336,Dépenses!$E$6:$E$336,$L$5,Dépenses!$J$6:$J$336,"2022",Dépenses!$I$6:$I$336,A7,Dépenses!$C$6:$C$336,$L$4)</f>
        <v>963.96</v>
      </c>
      <c r="M7" s="53">
        <f>SUMIFS(Dépenses!$K$6:$K$336,Dépenses!$E$6:$E$336,$M$5,Dépenses!$J$6:$J$336,"2022",Dépenses!$I$6:$I$336,A7,Dépenses!$C$6:$C$336,$M$4)</f>
        <v>199</v>
      </c>
      <c r="N7" s="53">
        <f>SUMIFS(Dépenses!$K$6:$K$336,Dépenses!$E$6:$E$336,$N$5,Dépenses!$J$6:$J$336,"2022",Dépenses!$I$6:$I$336,A7,Dépenses!$C$6:$C$336,$N$4)</f>
        <v>255</v>
      </c>
      <c r="O7" s="53">
        <f>SUMIFS(Dépenses!$K$6:$K$336,Dépenses!$E$6:$E$336,$O$5,Dépenses!$J$6:$J$336,"2022",Dépenses!$I$6:$I$336,A7,Dépenses!$C$6:$C$336,$O$4)</f>
        <v>0</v>
      </c>
      <c r="P7" s="53">
        <f>SUMIFS(Dépenses!$K$6:$K$336,Dépenses!$E$6:$E$336,$P$5,Dépenses!$J$6:$J$336,"2022",Dépenses!$I$6:$I$336,A7,Dépenses!$C$6:$C$336,$P$4)</f>
        <v>0</v>
      </c>
      <c r="Q7" s="53">
        <f>SUMIFS(Dépenses!$K$6:$K$336,Dépenses!$E$6:$E$336,$Q$5,Dépenses!$J$6:$J$336,"2022",Dépenses!$I$6:$I$336,A7,Dépenses!$C$6:$C$336,$Q$4)</f>
        <v>0</v>
      </c>
      <c r="R7" s="53">
        <f>SUMIFS(Dépenses!$K$6:$K$336,Dépenses!$E$6:$E$336,$R$5,Dépenses!$J$6:$J$336,"2022",Dépenses!$I$6:$I$336,A7,Dépenses!$C$6:$C$336,$R$4)</f>
        <v>0</v>
      </c>
      <c r="S7" s="53">
        <f>SUMIFS(Dépenses!$K$6:$K$336,Dépenses!$E$6:$E$336,$S$5,Dépenses!$J$6:$J$336,"2022",Dépenses!$I$6:$I$336,A7,Dépenses!$C$6:$C$336,$R$4)</f>
        <v>0</v>
      </c>
      <c r="T7" s="53">
        <f>SUMIFS(Dépenses!$K$6:$K$336,Dépenses!$E$6:$E$336,$T$5,Dépenses!$J$6:$J$336,"2022",Dépenses!$I$6:$I$336,A7,Dépenses!$C$6:$C$336,$T$4)</f>
        <v>0</v>
      </c>
      <c r="U7" s="53">
        <f>SUMIFS(Dépenses!$K$6:$K$336,Dépenses!$E$6:$E$336,$U$5,Dépenses!$J$6:$J$336,"2022",Dépenses!$I$6:$I$336,A7,Dépenses!$C$6:$C$336,$U$4)</f>
        <v>0</v>
      </c>
      <c r="V7" s="53">
        <f>SUMIFS(Dépenses!$K$6:$K$336,Dépenses!$E$6:$E$336,$V$5,Dépenses!$J$6:$J$336,"2022",Dépenses!$I$6:$I$336,A7,Dépenses!$C$6:$C$336,$V$4)</f>
        <v>118</v>
      </c>
      <c r="W7" s="53">
        <f>SUMIFS(Dépenses!$K$6:$K$336,Dépenses!$E$6:$E$336,$W$5,Dépenses!$J$6:$J$336,"2022",Dépenses!$I$6:$I$336,A7,Dépenses!$C$6:$C$336,$W$4)</f>
        <v>12384</v>
      </c>
      <c r="X7" s="52">
        <f>SUM(I7:W7)</f>
        <v>22619.96</v>
      </c>
    </row>
    <row r="8" spans="1:24" x14ac:dyDescent="0.35">
      <c r="A8" s="50">
        <v>2</v>
      </c>
      <c r="B8" s="62" t="s">
        <v>140</v>
      </c>
      <c r="C8" s="93">
        <f>'2022'!D159 - SUMIFS(Transfert!J5:J81,Transfert!F5:F81,"2022",Transfert!G5:G81,A8)</f>
        <v>12950</v>
      </c>
      <c r="D8" s="53">
        <f>SUMIFS(Recettes!$J$6:$J$68,Recettes!$D$6:$D$68,$D$5,Recettes!$I$6:$I$68,"2022",Recettes!$H$6:$H$68,A8)</f>
        <v>2830</v>
      </c>
      <c r="E8" s="93">
        <f>SUMIFS(Recettes!$J$6:$J$68,Recettes!$F$6:$F$68,$E$5,Recettes!$I$6:$I$68,"2022",Recettes!$H$6:$H$68,A8) + SUMIFS(Transfert!J5:J81,Transfert!I5:I81,$E$5,Transfert!F5:F81,"2022",Transfert!G5:G81,A8)</f>
        <v>11330</v>
      </c>
      <c r="F8" s="93">
        <f ca="1">SUMIFS(Recettes!$J$6:$J$68,Recettes!$F$6:$F$68,$F$5,Recettes!$I$6:$I$68,"2022",Recettes!$H$6:$H$68,A8) + SUMIFS(Transfert!K5:K81,Transfert!J5:J81,$F$5,Transfert!G5:G81,"2022",Transfert!H5:H81,A8)</f>
        <v>0</v>
      </c>
      <c r="G8" s="52"/>
      <c r="H8" s="63" t="s">
        <v>140</v>
      </c>
      <c r="I8" s="53">
        <f>SUMIFS(Dépenses!$K$6:$K$336,Dépenses!$E$6:$E$336,$I$5,Dépenses!$J$6:$J$336,"2022",Dépenses!$I$6:$I$336,A8,Dépenses!$C$6:$C$336,$I$4)</f>
        <v>9620</v>
      </c>
      <c r="J8" s="53">
        <f>SUMIFS(Dépenses!$K$6:$K$336,Dépenses!$E$6:$E$336,$J$5,Dépenses!$J$6:$J$336,"2022",Dépenses!$I$6:$I$336,A8,Dépenses!$C$6:$C$336,$J$4)</f>
        <v>1885.72</v>
      </c>
      <c r="K8" s="53">
        <f>SUMIFS(Dépenses!$K$6:$K$336,Dépenses!$C$6:$C$336,"Primes Annuelles - Aid El Fitr",Dépenses!$J$6:$J$336,"2022",Dépenses!$I$6:$I$336,A8) + SUMIFS(Dépenses!$K$6:$K$336,Dépenses!$C$6:$C$336,"Primes Annuelles - Aid Al Adha",Dépenses!$J$6:$J$336,"2022",Dépenses!$I$6:$I$336,A8)</f>
        <v>0</v>
      </c>
      <c r="L8" s="53">
        <f>SUMIFS(Dépenses!$K$6:$K$336,Dépenses!$E$6:$E$336,$L$5,Dépenses!$J$6:$J$336,"2022",Dépenses!$I$6:$I$336,A8,Dépenses!$C$6:$C$336,$L$4)</f>
        <v>729.64</v>
      </c>
      <c r="M8" s="53">
        <f>SUMIFS(Dépenses!$K$6:$K$336,Dépenses!$E$6:$E$336,$M$5,Dépenses!$J$6:$J$336,"2022",Dépenses!$I$6:$I$336,A8,Dépenses!$C$6:$C$336,$M$4)</f>
        <v>199</v>
      </c>
      <c r="N8" s="53">
        <f>SUMIFS(Dépenses!$K$6:$K$336,Dépenses!$E$6:$E$336,$N$5,Dépenses!$J$6:$J$336,"2022",Dépenses!$I$6:$I$336,A8,Dépenses!$C$6:$C$336,$N$4)</f>
        <v>0</v>
      </c>
      <c r="O8" s="53">
        <f>SUMIFS(Dépenses!$K$6:$K$336,Dépenses!$E$6:$E$336,$O$5,Dépenses!$J$6:$J$336,"2022",Dépenses!$I$6:$I$336,A8,Dépenses!$C$6:$C$336,$O$4)</f>
        <v>50</v>
      </c>
      <c r="P8" s="53">
        <f>SUMIFS(Dépenses!$K$6:$K$336,Dépenses!$E$6:$E$336,$P$5,Dépenses!$J$6:$J$336,"2022",Dépenses!$I$6:$I$336,A8,Dépenses!$C$6:$C$336,$P$4)</f>
        <v>0</v>
      </c>
      <c r="Q8" s="53">
        <f>SUMIFS(Dépenses!$K$6:$K$336,Dépenses!$E$6:$E$336,$Q$5,Dépenses!$J$6:$J$336,"2022",Dépenses!$I$6:$I$336,A8,Dépenses!$C$6:$C$336,$Q$4)</f>
        <v>0</v>
      </c>
      <c r="R8" s="53">
        <f>SUMIFS(Dépenses!$K$6:$K$336,Dépenses!$E$6:$E$336,$R$5,Dépenses!$J$6:$J$336,"2022",Dépenses!$I$6:$I$336,A8,Dépenses!$C$6:$C$336,$R$4)</f>
        <v>0</v>
      </c>
      <c r="S8" s="53">
        <f>SUMIFS(Dépenses!$K$6:$K$336,Dépenses!$E$6:$E$336,$S$5,Dépenses!$J$6:$J$336,"2022",Dépenses!$I$6:$I$336,A8,Dépenses!$C$6:$C$336,$R$4)</f>
        <v>0</v>
      </c>
      <c r="T8" s="53">
        <f>SUMIFS(Dépenses!$K$6:$K$336,Dépenses!$E$6:$E$336,$T$5,Dépenses!$J$6:$J$336,"2022",Dépenses!$I$6:$I$336,A8,Dépenses!$C$6:$C$336,$T$4)</f>
        <v>0</v>
      </c>
      <c r="U8" s="53">
        <f>SUMIFS(Dépenses!$K$6:$K$336,Dépenses!$E$6:$E$336,$U$5,Dépenses!$J$6:$J$336,"2022",Dépenses!$I$6:$I$336,A8,Dépenses!$C$6:$C$336,$U$4)</f>
        <v>0</v>
      </c>
      <c r="V8" s="53">
        <f>SUMIFS(Dépenses!$K$6:$K$336,Dépenses!$E$6:$E$336,$V$5,Dépenses!$J$6:$J$336,"2022",Dépenses!$I$6:$I$336,A8,Dépenses!$C$6:$C$336,$V$4)</f>
        <v>45</v>
      </c>
      <c r="W8" s="53">
        <f>SUMIFS(Dépenses!$K$6:$K$336,Dépenses!$E$6:$E$336,$W$5,Dépenses!$J$6:$J$336,"2022",Dépenses!$I$6:$I$336,A8,Dépenses!$C$6:$C$336,$W$4)</f>
        <v>0</v>
      </c>
      <c r="X8" s="52">
        <f t="shared" ref="X8:X18" si="0">SUM(I8:W8)</f>
        <v>12529.359999999999</v>
      </c>
    </row>
    <row r="9" spans="1:24" x14ac:dyDescent="0.35">
      <c r="A9" s="50">
        <v>3</v>
      </c>
      <c r="B9" s="62" t="s">
        <v>7</v>
      </c>
      <c r="C9" s="53">
        <f>'2022'!D160 - SUMIFS(Transfert!J6:J81,Transfert!F6:F81,"2022",Transfert!G6:G81,A9)</f>
        <v>17100</v>
      </c>
      <c r="D9" s="53">
        <f>SUMIFS(Recettes!$J$6:$J$68,Recettes!$D$6:$D$68,$D$5,Recettes!$I$6:$I$68,"2022",Recettes!$H$6:$H$68,A9)</f>
        <v>1870</v>
      </c>
      <c r="E9" s="53">
        <f>SUMIFS(Recettes!$J$6:$J$68,Recettes!$F$6:$F$68,$E$5,Recettes!$I$6:$I$68,"2022",Recettes!$H$6:$H$68,A9) + SUMIFS(Transfert!J6:J81,Transfert!I6:I81,$E$5,Transfert!F6:F81,"2022",Transfert!G6:G81,A9)</f>
        <v>6380</v>
      </c>
      <c r="F9" s="53">
        <f ca="1">SUMIFS(Recettes!$J$6:$J$68,Recettes!$F$6:$F$68,$F$5,Recettes!$I$6:$I$68,"2022",Recettes!$H$6:$H$68,A9) + SUMIFS(Transfert!K6:K81,Transfert!J6:J81,$F$5,Transfert!G6:G81,"2022",Transfert!H6:H81,A9)</f>
        <v>0</v>
      </c>
      <c r="G9" s="52"/>
      <c r="H9" s="63" t="s">
        <v>7</v>
      </c>
      <c r="I9" s="53">
        <f>SUMIFS(Dépenses!$K$6:$K$336,Dépenses!$E$6:$E$336,$I$5,Dépenses!$J$6:$J$336,"2022",Dépenses!$I$6:$I$336,A9,Dépenses!$C$6:$C$336,$I$4)</f>
        <v>8700</v>
      </c>
      <c r="J9" s="53">
        <f>SUMIFS(Dépenses!$K$6:$K$336,Dépenses!$E$6:$E$336,$J$5,Dépenses!$J$6:$J$336,"2022",Dépenses!$I$6:$I$336,A9,Dépenses!$C$6:$C$336,$J$4)</f>
        <v>2514.3000000000002</v>
      </c>
      <c r="K9" s="53">
        <f>SUMIFS(Dépenses!$K$6:$K$336,Dépenses!$C$6:$C$336,"Primes Annuelles - Aid El Fitr",Dépenses!$J$6:$J$336,"2022",Dépenses!$I$6:$I$336,A9) + SUMIFS(Dépenses!$K$6:$K$336,Dépenses!$C$6:$C$336,"Primes Annuelles - Aid Al Adha",Dépenses!$J$6:$J$336,"2022",Dépenses!$I$6:$I$336,A9)</f>
        <v>0</v>
      </c>
      <c r="L9" s="53">
        <f>SUMIFS(Dépenses!$K$6:$K$336,Dépenses!$E$6:$E$336,$L$5,Dépenses!$J$6:$J$336,"2022",Dépenses!$I$6:$I$336,A9,Dépenses!$C$6:$C$336,$L$4)</f>
        <v>831.18</v>
      </c>
      <c r="M9" s="53">
        <f>SUMIFS(Dépenses!$K$6:$K$336,Dépenses!$E$6:$E$336,$M$5,Dépenses!$J$6:$J$336,"2022",Dépenses!$I$6:$I$336,A9,Dépenses!$C$6:$C$336,$M$4)</f>
        <v>199</v>
      </c>
      <c r="N9" s="53">
        <f>SUMIFS(Dépenses!$K$6:$K$336,Dépenses!$E$6:$E$336,$N$5,Dépenses!$J$6:$J$336,"2022",Dépenses!$I$6:$I$336,A9,Dépenses!$C$6:$C$336,$N$4)</f>
        <v>60</v>
      </c>
      <c r="O9" s="53">
        <f>SUMIFS(Dépenses!$K$6:$K$336,Dépenses!$E$6:$E$336,$O$5,Dépenses!$J$6:$J$336,"2022",Dépenses!$I$6:$I$336,A9,Dépenses!$C$6:$C$336,$O$4)</f>
        <v>44</v>
      </c>
      <c r="P9" s="53">
        <f>SUMIFS(Dépenses!$K$6:$K$336,Dépenses!$E$6:$E$336,$P$5,Dépenses!$J$6:$J$336,"2022",Dépenses!$I$6:$I$336,A9,Dépenses!$C$6:$C$336,$P$4)</f>
        <v>0</v>
      </c>
      <c r="Q9" s="53">
        <f>SUMIFS(Dépenses!$K$6:$K$336,Dépenses!$E$6:$E$336,$Q$5,Dépenses!$J$6:$J$336,"2022",Dépenses!$I$6:$I$336,A9,Dépenses!$C$6:$C$336,$Q$4)</f>
        <v>0</v>
      </c>
      <c r="R9" s="53">
        <f>SUMIFS(Dépenses!$K$6:$K$336,Dépenses!$E$6:$E$336,$R$5,Dépenses!$J$6:$J$336,"2022",Dépenses!$I$6:$I$336,A9,Dépenses!$C$6:$C$336,$R$4)</f>
        <v>0</v>
      </c>
      <c r="S9" s="53">
        <f>SUMIFS(Dépenses!$K$6:$K$336,Dépenses!$E$6:$E$336,$S$5,Dépenses!$J$6:$J$336,"2022",Dépenses!$I$6:$I$336,A9,Dépenses!$C$6:$C$336,$R$4)</f>
        <v>0</v>
      </c>
      <c r="T9" s="53">
        <f>SUMIFS(Dépenses!$K$6:$K$336,Dépenses!$E$6:$E$336,$T$5,Dépenses!$J$6:$J$336,"2022",Dépenses!$I$6:$I$336,A9,Dépenses!$C$6:$C$336,$T$4)</f>
        <v>0</v>
      </c>
      <c r="U9" s="53">
        <f>SUMIFS(Dépenses!$K$6:$K$336,Dépenses!$E$6:$E$336,$U$5,Dépenses!$J$6:$J$336,"2022",Dépenses!$I$6:$I$336,A9,Dépenses!$C$6:$C$336,$U$4)</f>
        <v>0</v>
      </c>
      <c r="V9" s="53">
        <f>SUMIFS(Dépenses!$K$6:$K$336,Dépenses!$E$6:$E$336,$V$5,Dépenses!$J$6:$J$336,"2022",Dépenses!$I$6:$I$336,A9,Dépenses!$C$6:$C$336,$V$4)</f>
        <v>262</v>
      </c>
      <c r="W9" s="53">
        <f>SUMIFS(Dépenses!$K$6:$K$336,Dépenses!$E$6:$E$336,$W$5,Dépenses!$J$6:$J$336,"2022",Dépenses!$I$6:$I$336,A9,Dépenses!$C$6:$C$336,$W$4)</f>
        <v>20420</v>
      </c>
      <c r="X9" s="52">
        <f t="shared" si="0"/>
        <v>33030.479999999996</v>
      </c>
    </row>
    <row r="10" spans="1:24" x14ac:dyDescent="0.35">
      <c r="A10" s="50">
        <v>4</v>
      </c>
      <c r="B10" s="62" t="s">
        <v>8</v>
      </c>
      <c r="C10" s="53">
        <f>'2022'!D161 - SUMIFS(Transfert!J7:J81,Transfert!F7:F81,"2022",Transfert!G7:G81,A10)</f>
        <v>8940</v>
      </c>
      <c r="D10" s="53">
        <f>SUMIFS(Recettes!$J$6:$J$68,Recettes!$D$6:$D$68,$D$5,Recettes!$I$6:$I$68,"2022",Recettes!$H$6:$H$68,A10)</f>
        <v>0</v>
      </c>
      <c r="E10" s="53">
        <f>SUMIFS(Recettes!$J$6:$J$68,Recettes!$F$6:$F$68,$E$5,Recettes!$I$6:$I$68,"2022",Recettes!$H$6:$H$68,A10) + SUMIFS(Transfert!J7:J81,Transfert!I7:I81,$E$5,Transfert!F7:F81,"2022",Transfert!G7:G81,A10)</f>
        <v>7550</v>
      </c>
      <c r="F10" s="53">
        <f ca="1">SUMIFS(Recettes!$J$6:$J$68,Recettes!$F$6:$F$68,$F$5,Recettes!$I$6:$I$68,"2022",Recettes!$H$6:$H$68,A10) + SUMIFS(Transfert!K7:K81,Transfert!J7:J81,$F$5,Transfert!G7:G81,"2022",Transfert!H7:H81,A10)</f>
        <v>0</v>
      </c>
      <c r="G10" s="52"/>
      <c r="H10" s="63" t="s">
        <v>8</v>
      </c>
      <c r="I10" s="53">
        <f>SUMIFS(Dépenses!$K$6:$K$336,Dépenses!$E$6:$E$336,$I$5,Dépenses!$J$6:$J$336,"2022",Dépenses!$I$6:$I$336,A10,Dépenses!$C$6:$C$336,$I$4)</f>
        <v>8700</v>
      </c>
      <c r="J10" s="53">
        <f>SUMIFS(Dépenses!$K$6:$K$336,Dépenses!$E$6:$E$336,$J$5,Dépenses!$J$6:$J$336,"2022",Dépenses!$I$6:$I$336,A10,Dépenses!$C$6:$C$336,$J$4)</f>
        <v>2514.3000000000002</v>
      </c>
      <c r="K10" s="53">
        <f>SUMIFS(Dépenses!$K$6:$K$336,Dépenses!$C$6:$C$336,"Primes Annuelles - Aid El Fitr",Dépenses!$J$6:$J$336,"2022",Dépenses!$I$6:$I$336,A10) + SUMIFS(Dépenses!$K$6:$K$336,Dépenses!$C$6:$C$336,"Primes Annuelles - Aid Al Adha",Dépenses!$J$6:$J$336,"2022",Dépenses!$I$6:$I$336,A10)</f>
        <v>1200</v>
      </c>
      <c r="L10" s="53">
        <f>SUMIFS(Dépenses!$K$6:$K$336,Dépenses!$E$6:$E$336,$L$5,Dépenses!$J$6:$J$336,"2022",Dépenses!$I$6:$I$336,A10,Dépenses!$C$6:$C$336,$L$4)</f>
        <v>865.07</v>
      </c>
      <c r="M10" s="53">
        <f>SUMIFS(Dépenses!$K$6:$K$336,Dépenses!$E$6:$E$336,$M$5,Dépenses!$J$6:$J$336,"2022",Dépenses!$I$6:$I$336,A10,Dépenses!$C$6:$C$336,$M$4)</f>
        <v>199</v>
      </c>
      <c r="N10" s="53">
        <f>SUMIFS(Dépenses!$K$6:$K$336,Dépenses!$E$6:$E$336,$N$5,Dépenses!$J$6:$J$336,"2022",Dépenses!$I$6:$I$336,A10,Dépenses!$C$6:$C$336,$N$4)</f>
        <v>168</v>
      </c>
      <c r="O10" s="53">
        <f>SUMIFS(Dépenses!$K$6:$K$336,Dépenses!$E$6:$E$336,$O$5,Dépenses!$J$6:$J$336,"2022",Dépenses!$I$6:$I$336,A10,Dépenses!$C$6:$C$336,$O$4)</f>
        <v>40</v>
      </c>
      <c r="P10" s="53">
        <f>SUMIFS(Dépenses!$K$6:$K$336,Dépenses!$E$6:$E$336,$P$5,Dépenses!$J$6:$J$336,"2022",Dépenses!$I$6:$I$336,A10,Dépenses!$C$6:$C$336,$P$4)</f>
        <v>1000</v>
      </c>
      <c r="Q10" s="53">
        <f>SUMIFS(Dépenses!$K$6:$K$336,Dépenses!$E$6:$E$336,$Q$5,Dépenses!$J$6:$J$336,"2022",Dépenses!$I$6:$I$336,A10,Dépenses!$C$6:$C$336,$Q$4)</f>
        <v>50</v>
      </c>
      <c r="R10" s="53">
        <f>SUMIFS(Dépenses!$K$6:$K$336,Dépenses!$E$6:$E$336,$R$5,Dépenses!$J$6:$J$336,"2022",Dépenses!$I$6:$I$336,A10,Dépenses!$C$6:$C$336,$R$4)</f>
        <v>0</v>
      </c>
      <c r="S10" s="53">
        <f>SUMIFS(Dépenses!$K$6:$K$336,Dépenses!$E$6:$E$336,$S$5,Dépenses!$J$6:$J$336,"2022",Dépenses!$I$6:$I$336,A10,Dépenses!$C$6:$C$336,$R$4)</f>
        <v>0</v>
      </c>
      <c r="T10" s="53">
        <f>SUMIFS(Dépenses!$K$6:$K$336,Dépenses!$E$6:$E$336,$T$5,Dépenses!$J$6:$J$336,"2022",Dépenses!$I$6:$I$336,A10,Dépenses!$C$6:$C$336,$T$4)</f>
        <v>0</v>
      </c>
      <c r="U10" s="53">
        <f>SUMIFS(Dépenses!$K$6:$K$336,Dépenses!$E$6:$E$336,$U$5,Dépenses!$J$6:$J$336,"2022",Dépenses!$I$6:$I$336,A10,Dépenses!$C$6:$C$336,$U$4)</f>
        <v>1400</v>
      </c>
      <c r="V10" s="53">
        <f>SUMIFS(Dépenses!$K$6:$K$336,Dépenses!$E$6:$E$336,$V$5,Dépenses!$J$6:$J$336,"2022",Dépenses!$I$6:$I$336,A10,Dépenses!$C$6:$C$336,$V$4)</f>
        <v>136</v>
      </c>
      <c r="W10" s="53">
        <f>SUMIFS(Dépenses!$K$6:$K$336,Dépenses!$E$6:$E$336,$W$5,Dépenses!$J$6:$J$336,"2022",Dépenses!$I$6:$I$336,A10,Dépenses!$C$6:$C$336,$W$4)</f>
        <v>0</v>
      </c>
      <c r="X10" s="52">
        <f t="shared" si="0"/>
        <v>16272.369999999999</v>
      </c>
    </row>
    <row r="11" spans="1:24" x14ac:dyDescent="0.35">
      <c r="A11" s="50">
        <v>5</v>
      </c>
      <c r="B11" s="62" t="s">
        <v>9</v>
      </c>
      <c r="C11" s="53">
        <f>'2022'!D162 - SUMIFS(Transfert!J8:J82,Transfert!F8:F82,"2022",Transfert!G8:G82,A11)</f>
        <v>9460</v>
      </c>
      <c r="D11" s="53">
        <f>SUMIFS(Recettes!$J$6:$J$68,Recettes!$D$6:$D$68,$D$5,Recettes!$I$6:$I$68,"2022",Recettes!$H$6:$H$68,A11)</f>
        <v>3740</v>
      </c>
      <c r="E11" s="53">
        <f>SUMIFS(Recettes!$J$6:$J$68,Recettes!$F$6:$F$68,$E$5,Recettes!$I$6:$I$68,"2022",Recettes!$H$6:$H$68,A11) + SUMIFS(Transfert!J8:J82,Transfert!I8:I82,$E$5,Transfert!F8:F82,"2022",Transfert!G8:G82,A11)</f>
        <v>5480</v>
      </c>
      <c r="F11" s="53" t="e">
        <f ca="1">SUMIFS(Recettes!$J$6:$J$68,Recettes!$F$6:$F$68,$F$5,Recettes!$I$6:$I$68,"2022",Recettes!$H$6:$H$68,A11) + SUMIFS(Transfert!K8:K81,Transfert!J8:J82,$F$5,Transfert!G8:G82,"2022",Transfert!H8:H82,A11)</f>
        <v>#VALUE!</v>
      </c>
      <c r="G11" s="52"/>
      <c r="H11" s="63" t="s">
        <v>9</v>
      </c>
      <c r="I11" s="53">
        <f>SUMIFS(Dépenses!$K$6:$K$336,Dépenses!$E$6:$E$336,$I$5,Dépenses!$J$6:$J$336,"2022",Dépenses!$I$6:$I$336,A11,Dépenses!$C$6:$C$336,$I$4)</f>
        <v>8700</v>
      </c>
      <c r="J11" s="53">
        <f>SUMIFS(Dépenses!$K$6:$K$336,Dépenses!$E$6:$E$336,$J$5,Dépenses!$J$6:$J$336,"2022",Dépenses!$I$6:$I$336,A11,Dépenses!$C$6:$C$336,$J$4)</f>
        <v>2514.3000000000002</v>
      </c>
      <c r="K11" s="53">
        <f>SUMIFS(Dépenses!$K$6:$K$336,Dépenses!$C$6:$C$336,"Primes Annuelles - Aid El Fitr",Dépenses!$J$6:$J$336,"2022",Dépenses!$I$6:$I$336,A11) + SUMIFS(Dépenses!$K$6:$K$336,Dépenses!$C$6:$C$336,"Primes Annuelles - Aid Al Adha",Dépenses!$J$6:$J$336,"2022",Dépenses!$I$6:$I$336,A11)</f>
        <v>0</v>
      </c>
      <c r="L11" s="53">
        <f>SUMIFS(Dépenses!$K$6:$K$336,Dépenses!$E$6:$E$336,$L$5,Dépenses!$J$6:$J$336,"2022",Dépenses!$I$6:$I$336,A11,Dépenses!$C$6:$C$336,$L$4)</f>
        <v>748.71</v>
      </c>
      <c r="M11" s="53">
        <f>SUMIFS(Dépenses!$K$6:$K$336,Dépenses!$E$6:$E$336,$M$5,Dépenses!$J$6:$J$336,"2022",Dépenses!$I$6:$I$336,A11,Dépenses!$C$6:$C$336,$M$4)</f>
        <v>199</v>
      </c>
      <c r="N11" s="53">
        <f>SUMIFS(Dépenses!$K$6:$K$336,Dépenses!$E$6:$E$336,$N$5,Dépenses!$J$6:$J$336,"2022",Dépenses!$I$6:$I$336,A11,Dépenses!$C$6:$C$336,$N$4)</f>
        <v>216</v>
      </c>
      <c r="O11" s="53">
        <f>SUMIFS(Dépenses!$K$6:$K$336,Dépenses!$E$6:$E$336,$O$5,Dépenses!$J$6:$J$336,"2022",Dépenses!$I$6:$I$336,A11,Dépenses!$C$6:$C$336,$O$4)</f>
        <v>135</v>
      </c>
      <c r="P11" s="53">
        <f>SUMIFS(Dépenses!$K$6:$K$336,Dépenses!$E$6:$E$336,$P$5,Dépenses!$J$6:$J$336,"2022",Dépenses!$I$6:$I$336,A11,Dépenses!$C$6:$C$336,$P$4)</f>
        <v>0</v>
      </c>
      <c r="Q11" s="53">
        <f>SUMIFS(Dépenses!$K$6:$K$336,Dépenses!$E$6:$E$336,$Q$5,Dépenses!$J$6:$J$336,"2022",Dépenses!$I$6:$I$336,A11,Dépenses!$C$6:$C$336,$Q$4)</f>
        <v>0</v>
      </c>
      <c r="R11" s="53">
        <f>SUMIFS(Dépenses!$K$6:$K$336,Dépenses!$E$6:$E$336,$R$5,Dépenses!$J$6:$J$336,"2022",Dépenses!$I$6:$I$336,A11,Dépenses!$C$6:$C$336,$R$4)</f>
        <v>0</v>
      </c>
      <c r="S11" s="53">
        <f>SUMIFS(Dépenses!$K$6:$K$336,Dépenses!$E$6:$E$336,$S$5,Dépenses!$J$6:$J$336,"2022",Dépenses!$I$6:$I$336,A11,Dépenses!$C$6:$C$336,$R$4)</f>
        <v>0</v>
      </c>
      <c r="T11" s="53">
        <f>SUMIFS(Dépenses!$K$6:$K$336,Dépenses!$E$6:$E$336,$T$5,Dépenses!$J$6:$J$336,"2022",Dépenses!$I$6:$I$336,A11,Dépenses!$C$6:$C$336,$T$4)</f>
        <v>0</v>
      </c>
      <c r="U11" s="53">
        <f>SUMIFS(Dépenses!$K$6:$K$336,Dépenses!$E$6:$E$336,$U$5,Dépenses!$J$6:$J$336,"2022",Dépenses!$I$6:$I$336,A11,Dépenses!$C$6:$C$336,$U$4)</f>
        <v>850</v>
      </c>
      <c r="V11" s="53">
        <f>SUMIFS(Dépenses!$K$6:$K$336,Dépenses!$E$6:$E$336,$V$5,Dépenses!$J$6:$J$336,"2022",Dépenses!$I$6:$I$336,A11,Dépenses!$C$6:$C$336,$V$4)</f>
        <v>95</v>
      </c>
      <c r="W11" s="53">
        <f>SUMIFS(Dépenses!$K$6:$K$336,Dépenses!$E$6:$E$336,$W$5,Dépenses!$J$6:$J$336,"2022",Dépenses!$I$6:$I$336,A11,Dépenses!$C$6:$C$336,$W$4)</f>
        <v>0</v>
      </c>
      <c r="X11" s="52">
        <f t="shared" si="0"/>
        <v>13458.009999999998</v>
      </c>
    </row>
    <row r="12" spans="1:24" x14ac:dyDescent="0.35">
      <c r="A12" s="50">
        <v>6</v>
      </c>
      <c r="B12" s="62" t="s">
        <v>10</v>
      </c>
      <c r="C12" s="53">
        <f>'2022'!D163 - SUMIFS(Transfert!J9:J83,Transfert!F9:F83,"2022",Transfert!G9:G83,A12)</f>
        <v>17390</v>
      </c>
      <c r="D12" s="53">
        <f>SUMIFS(Recettes!$J$6:$J$68,Recettes!$D$6:$D$68,$D$5,Recettes!$I$6:$I$68,"2022",Recettes!$H$6:$H$68,A12)</f>
        <v>0</v>
      </c>
      <c r="E12" s="53">
        <f>SUMIFS(Recettes!$J$6:$J$68,Recettes!$F$6:$F$68,$E$5,Recettes!$I$6:$I$68,"2022",Recettes!$H$6:$H$68,A12) + SUMIFS(Transfert!J9:J83,Transfert!I9:I83,$E$5,Transfert!F9:F83,"2022",Transfert!G9:G83,A12)</f>
        <v>3690</v>
      </c>
      <c r="F12" s="53" t="e">
        <f ca="1">SUMIFS(Recettes!$J$6:$J$68,Recettes!$F$6:$F$68,$F$5,Recettes!$I$6:$I$68,"2022",Recettes!$H$6:$H$68,A12) + SUMIFS(Transfert!K9:K81,Transfert!J9:J83,$F$5,Transfert!G9:G83,"2022",Transfert!H9:H83,A12)</f>
        <v>#VALUE!</v>
      </c>
      <c r="G12" s="52"/>
      <c r="H12" s="63" t="s">
        <v>10</v>
      </c>
      <c r="I12" s="53">
        <f>SUMIFS(Dépenses!$K$6:$K$336,Dépenses!$E$6:$E$336,$I$5,Dépenses!$J$6:$J$336,"2022",Dépenses!$I$6:$I$336,A12,Dépenses!$C$6:$C$336,$I$4)</f>
        <v>8700</v>
      </c>
      <c r="J12" s="53">
        <f>SUMIFS(Dépenses!$K$6:$K$336,Dépenses!$E$6:$E$336,$J$5,Dépenses!$J$6:$J$336,"2022",Dépenses!$I$6:$I$336,A12,Dépenses!$C$6:$C$336,$J$4)</f>
        <v>2514.3000000000002</v>
      </c>
      <c r="K12" s="53">
        <f>SUMIFS(Dépenses!$K$6:$K$336,Dépenses!$C$6:$C$336,"Primes Annuelles - Aid El Fitr",Dépenses!$J$6:$J$336,"2022",Dépenses!$I$6:$I$336,A12) + SUMIFS(Dépenses!$K$6:$K$336,Dépenses!$C$6:$C$336,"Primes Annuelles - Aid Al Adha",Dépenses!$J$6:$J$336,"2022",Dépenses!$I$6:$I$336,A12)</f>
        <v>3500</v>
      </c>
      <c r="L12" s="53">
        <f>SUMIFS(Dépenses!$K$6:$K$336,Dépenses!$E$6:$E$336,$L$5,Dépenses!$J$6:$J$336,"2022",Dépenses!$I$6:$I$336,A12,Dépenses!$C$6:$C$336,$L$4)</f>
        <v>1146.6500000000001</v>
      </c>
      <c r="M12" s="53">
        <f>SUMIFS(Dépenses!$K$6:$K$336,Dépenses!$E$6:$E$336,$M$5,Dépenses!$J$6:$J$336,"2022",Dépenses!$I$6:$I$336,A12,Dépenses!$C$6:$C$336,$M$4)</f>
        <v>199</v>
      </c>
      <c r="N12" s="53">
        <f>SUMIFS(Dépenses!$K$6:$K$336,Dépenses!$E$6:$E$336,$N$5,Dépenses!$J$6:$J$336,"2022",Dépenses!$I$6:$I$336,A12,Dépenses!$C$6:$C$336,$N$4)</f>
        <v>100</v>
      </c>
      <c r="O12" s="53">
        <f>SUMIFS(Dépenses!$K$6:$K$336,Dépenses!$E$6:$E$336,$O$5,Dépenses!$J$6:$J$336,"2022",Dépenses!$I$6:$I$336,A12,Dépenses!$C$6:$C$336,$O$4)</f>
        <v>333</v>
      </c>
      <c r="P12" s="53">
        <f>SUMIFS(Dépenses!$K$6:$K$336,Dépenses!$E$6:$E$336,$P$5,Dépenses!$J$6:$J$336,"2022",Dépenses!$I$6:$I$336,A12,Dépenses!$C$6:$C$336,$P$4)</f>
        <v>0</v>
      </c>
      <c r="Q12" s="53">
        <f>SUMIFS(Dépenses!$K$6:$K$336,Dépenses!$E$6:$E$336,$Q$5,Dépenses!$J$6:$J$336,"2022",Dépenses!$I$6:$I$336,A12,Dépenses!$C$6:$C$336,$Q$4)</f>
        <v>0</v>
      </c>
      <c r="R12" s="53">
        <f>SUMIFS(Dépenses!$K$6:$K$336,Dépenses!$E$6:$E$336,$R$5,Dépenses!$J$6:$J$336,"2022",Dépenses!$I$6:$I$336,A12,Dépenses!$C$6:$C$336,$R$4)</f>
        <v>0</v>
      </c>
      <c r="S12" s="53">
        <f>SUMIFS(Dépenses!$K$6:$K$336,Dépenses!$E$6:$E$336,$S$5,Dépenses!$J$6:$J$336,"2022",Dépenses!$I$6:$I$336,A12,Dépenses!$C$6:$C$336,$R$4)</f>
        <v>0</v>
      </c>
      <c r="T12" s="53">
        <f>SUMIFS(Dépenses!$K$6:$K$336,Dépenses!$E$6:$E$336,$T$5,Dépenses!$J$6:$J$336,"2022",Dépenses!$I$6:$I$336,A12,Dépenses!$C$6:$C$336,$T$4)</f>
        <v>0</v>
      </c>
      <c r="U12" s="53">
        <f>SUMIFS(Dépenses!$K$6:$K$336,Dépenses!$E$6:$E$336,$U$5,Dépenses!$J$6:$J$336,"2022",Dépenses!$I$6:$I$336,A12,Dépenses!$C$6:$C$336,$U$4)</f>
        <v>380</v>
      </c>
      <c r="V12" s="53">
        <f>SUMIFS(Dépenses!$K$6:$K$336,Dépenses!$E$6:$E$336,$V$5,Dépenses!$J$6:$J$336,"2022",Dépenses!$I$6:$I$336,A12,Dépenses!$C$6:$C$336,$V$4)</f>
        <v>190</v>
      </c>
      <c r="W12" s="53">
        <f>SUMIFS(Dépenses!$K$6:$K$336,Dépenses!$E$6:$E$336,$W$5,Dépenses!$J$6:$J$336,"2022",Dépenses!$I$6:$I$336,A12,Dépenses!$C$6:$C$336,$W$4)</f>
        <v>0</v>
      </c>
      <c r="X12" s="52">
        <f t="shared" si="0"/>
        <v>17062.949999999997</v>
      </c>
    </row>
    <row r="13" spans="1:24" x14ac:dyDescent="0.35">
      <c r="A13" s="50">
        <v>7</v>
      </c>
      <c r="B13" s="62" t="s">
        <v>11</v>
      </c>
      <c r="C13" s="53">
        <f>'2022'!D164 - SUMIFS(Transfert!J10:J84,Transfert!F10:F84,"2022",Transfert!G10:G84,A13)</f>
        <v>13330</v>
      </c>
      <c r="D13" s="53">
        <f>SUMIFS(Recettes!$J$6:$J$68,Recettes!$D$6:$D$68,$D$5,Recettes!$I$6:$I$68,"2022",Recettes!$H$6:$H$68,A13)</f>
        <v>1870</v>
      </c>
      <c r="E13" s="53">
        <f>SUMIFS(Recettes!$J$6:$J$68,Recettes!$F$6:$F$68,$E$5,Recettes!$I$6:$I$68,"2022",Recettes!$H$6:$H$68,A13) + SUMIFS(Transfert!J10:J84,Transfert!I10:I84,$E$5,Transfert!F10:F84,"2022",Transfert!G10:G84,A13)</f>
        <v>3500</v>
      </c>
      <c r="F13" s="53" t="e">
        <f ca="1">SUMIFS(Recettes!$J$6:$J$68,Recettes!$F$6:$F$68,$F$5,Recettes!$I$6:$I$68,"2022",Recettes!$H$6:$H$68,A13) + SUMIFS(Transfert!K10:K81,Transfert!J10:J84,$F$5,Transfert!G10:G84,"2022",Transfert!H10:H84,A13)</f>
        <v>#VALUE!</v>
      </c>
      <c r="G13" s="52"/>
      <c r="H13" s="63" t="s">
        <v>11</v>
      </c>
      <c r="I13" s="53">
        <f>SUMIFS(Dépenses!$K$6:$K$336,Dépenses!$E$6:$E$336,$I$5,Dépenses!$J$6:$J$336,"2022",Dépenses!$I$6:$I$336,A13,Dépenses!$C$6:$C$336,$I$4)</f>
        <v>8810</v>
      </c>
      <c r="J13" s="53">
        <f>SUMIFS(Dépenses!$K$6:$K$336,Dépenses!$E$6:$E$336,$J$5,Dépenses!$J$6:$J$336,"2022",Dépenses!$I$6:$I$336,A13,Dépenses!$C$6:$C$336,$J$4)</f>
        <v>2514.3000000000002</v>
      </c>
      <c r="K13" s="53">
        <f>SUMIFS(Dépenses!$K$6:$K$336,Dépenses!$C$6:$C$336,"Primes Annuelles - Aid El Fitr",Dépenses!$J$6:$J$336,"2022",Dépenses!$I$6:$I$336,A13) + SUMIFS(Dépenses!$K$6:$K$336,Dépenses!$C$6:$C$336,"Primes Annuelles - Aid Al Adha",Dépenses!$J$6:$J$336,"2022",Dépenses!$I$6:$I$336,A13)</f>
        <v>0</v>
      </c>
      <c r="L13" s="53">
        <f>SUMIFS(Dépenses!$K$6:$K$336,Dépenses!$E$6:$E$336,$L$5,Dépenses!$J$6:$J$336,"2022",Dépenses!$I$6:$I$336,A13,Dépenses!$C$6:$C$336,$L$4)</f>
        <v>1536.38</v>
      </c>
      <c r="M13" s="53">
        <f>SUMIFS(Dépenses!$K$6:$K$336,Dépenses!$E$6:$E$336,$M$5,Dépenses!$J$6:$J$336,"2022",Dépenses!$I$6:$I$336,A13,Dépenses!$C$6:$C$336,$M$4)</f>
        <v>199</v>
      </c>
      <c r="N13" s="53">
        <f>SUMIFS(Dépenses!$K$6:$K$336,Dépenses!$E$6:$E$336,$N$5,Dépenses!$J$6:$J$336,"2022",Dépenses!$I$6:$I$336,A13,Dépenses!$C$6:$C$336,$N$4)</f>
        <v>440</v>
      </c>
      <c r="O13" s="53">
        <f>SUMIFS(Dépenses!$K$6:$K$336,Dépenses!$E$6:$E$336,$O$5,Dépenses!$J$6:$J$336,"2022",Dépenses!$I$6:$I$336,A13,Dépenses!$C$6:$C$336,$O$4)</f>
        <v>90</v>
      </c>
      <c r="P13" s="53">
        <f>SUMIFS(Dépenses!$K$6:$K$336,Dépenses!$E$6:$E$336,$P$5,Dépenses!$J$6:$J$336,"2022",Dépenses!$I$6:$I$336,A13,Dépenses!$C$6:$C$336,$P$4)</f>
        <v>0</v>
      </c>
      <c r="Q13" s="53">
        <f>SUMIFS(Dépenses!$K$6:$K$336,Dépenses!$E$6:$E$336,$Q$5,Dépenses!$J$6:$J$336,"2022",Dépenses!$I$6:$I$336,A13,Dépenses!$C$6:$C$336,$Q$4)</f>
        <v>0</v>
      </c>
      <c r="R13" s="53">
        <f>SUMIFS(Dépenses!$K$6:$K$336,Dépenses!$E$6:$E$336,$R$5,Dépenses!$J$6:$J$336,"2022",Dépenses!$I$6:$I$336,A13,Dépenses!$C$6:$C$336,$R$4)</f>
        <v>0</v>
      </c>
      <c r="S13" s="53">
        <f>SUMIFS(Dépenses!$K$6:$K$336,Dépenses!$E$6:$E$336,$S$5,Dépenses!$J$6:$J$336,"2022",Dépenses!$I$6:$I$336,A13,Dépenses!$C$6:$C$336,$R$4)</f>
        <v>0</v>
      </c>
      <c r="T13" s="53">
        <f>SUMIFS(Dépenses!$K$6:$K$336,Dépenses!$E$6:$E$336,$T$5,Dépenses!$J$6:$J$336,"2022",Dépenses!$I$6:$I$336,A13,Dépenses!$C$6:$C$336,$T$4)</f>
        <v>0</v>
      </c>
      <c r="U13" s="53">
        <f>SUMIFS(Dépenses!$K$6:$K$336,Dépenses!$E$6:$E$336,$U$5,Dépenses!$J$6:$J$336,"2022",Dépenses!$I$6:$I$336,A13,Dépenses!$C$6:$C$336,$U$4)</f>
        <v>835</v>
      </c>
      <c r="V13" s="53">
        <f>SUMIFS(Dépenses!$K$6:$K$336,Dépenses!$E$6:$E$336,$V$5,Dépenses!$J$6:$J$336,"2022",Dépenses!$I$6:$I$336,A13,Dépenses!$C$6:$C$336,$V$4)</f>
        <v>71</v>
      </c>
      <c r="W13" s="53">
        <f>SUMIFS(Dépenses!$K$6:$K$336,Dépenses!$E$6:$E$336,$W$5,Dépenses!$J$6:$J$336,"2022",Dépenses!$I$6:$I$336,A13,Dépenses!$C$6:$C$336,$W$4)</f>
        <v>0</v>
      </c>
      <c r="X13" s="52">
        <f t="shared" si="0"/>
        <v>14495.68</v>
      </c>
    </row>
    <row r="14" spans="1:24" x14ac:dyDescent="0.35">
      <c r="A14" s="50">
        <v>8</v>
      </c>
      <c r="B14" s="62" t="s">
        <v>141</v>
      </c>
      <c r="C14" s="53">
        <f>'2022'!D165 - SUMIFS(Transfert!J11:J85,Transfert!F11:F85,"2022",Transfert!G11:G85,A14)</f>
        <v>11030</v>
      </c>
      <c r="D14" s="53">
        <f>SUMIFS(Recettes!$J$6:$J$68,Recettes!$D$6:$D$68,$D$5,Recettes!$I$6:$I$68,"2022",Recettes!$H$6:$H$68,A14)</f>
        <v>3929</v>
      </c>
      <c r="E14" s="53">
        <f>SUMIFS(Recettes!$J$6:$J$68,Recettes!$F$6:$F$68,$E$5,Recettes!$I$6:$I$68,"2022",Recettes!$H$6:$H$68,A14) + SUMIFS(Transfert!J11:J85,Transfert!I11:I85,$E$5,Transfert!F11:F85,"2022",Transfert!G11:G85,A14)</f>
        <v>3500</v>
      </c>
      <c r="F14" s="53" t="e">
        <f ca="1">SUMIFS(Recettes!$J$6:$J$68,Recettes!$F$6:$F$68,$F$5,Recettes!$I$6:$I$68,"2022",Recettes!$H$6:$H$68,A14) + SUMIFS(Transfert!K11:K82,Transfert!J11:J85,$F$5,Transfert!G11:G85,"2022",Transfert!H11:H85,A14)</f>
        <v>#VALUE!</v>
      </c>
      <c r="G14" s="52"/>
      <c r="H14" s="63" t="s">
        <v>141</v>
      </c>
      <c r="I14" s="53">
        <f>SUMIFS(Dépenses!$K$6:$K$336,Dépenses!$E$6:$E$336,$I$5,Dépenses!$J$6:$J$336,"2022",Dépenses!$I$6:$I$336,A14,Dépenses!$C$6:$C$336,$I$4)</f>
        <v>8700</v>
      </c>
      <c r="J14" s="53">
        <f>SUMIFS(Dépenses!$K$6:$K$336,Dépenses!$E$6:$E$336,$J$5,Dépenses!$J$6:$J$336,"2022",Dépenses!$I$6:$I$336,A14,Dépenses!$C$6:$C$336,$J$4)</f>
        <v>2514.3000000000002</v>
      </c>
      <c r="K14" s="53">
        <f>SUMIFS(Dépenses!$K$6:$K$336,Dépenses!$C$6:$C$336,"Primes Annuelles - Aid El Fitr",Dépenses!$J$6:$J$336,"2022",Dépenses!$I$6:$I$336,A14) + SUMIFS(Dépenses!$K$6:$K$336,Dépenses!$C$6:$C$336,"Primes Annuelles - Aid Al Adha",Dépenses!$J$6:$J$336,"2022",Dépenses!$I$6:$I$336,A14)</f>
        <v>0</v>
      </c>
      <c r="L14" s="53">
        <f>SUMIFS(Dépenses!$K$6:$K$336,Dépenses!$E$6:$E$336,$L$5,Dépenses!$J$6:$J$336,"2022",Dépenses!$I$6:$I$336,A14,Dépenses!$C$6:$C$336,$L$4)</f>
        <v>1209.92</v>
      </c>
      <c r="M14" s="53">
        <f>SUMIFS(Dépenses!$K$6:$K$336,Dépenses!$E$6:$E$336,$M$5,Dépenses!$J$6:$J$336,"2022",Dépenses!$I$6:$I$336,A14,Dépenses!$C$6:$C$336,$M$4)</f>
        <v>199</v>
      </c>
      <c r="N14" s="53">
        <f>SUMIFS(Dépenses!$K$6:$K$336,Dépenses!$E$6:$E$336,$N$5,Dépenses!$J$6:$J$336,"2022",Dépenses!$I$6:$I$336,A14,Dépenses!$C$6:$C$336,$N$4)</f>
        <v>105</v>
      </c>
      <c r="O14" s="53">
        <f>SUMIFS(Dépenses!$K$6:$K$336,Dépenses!$E$6:$E$336,$O$5,Dépenses!$J$6:$J$336,"2022",Dépenses!$I$6:$I$336,A14,Dépenses!$C$6:$C$336,$O$4)</f>
        <v>100</v>
      </c>
      <c r="P14" s="53">
        <f>SUMIFS(Dépenses!$K$6:$K$336,Dépenses!$E$6:$E$336,$P$5,Dépenses!$J$6:$J$336,"2022",Dépenses!$I$6:$I$336,A14,Dépenses!$C$6:$C$336,$P$4)</f>
        <v>0</v>
      </c>
      <c r="Q14" s="53">
        <f>SUMIFS(Dépenses!$K$6:$K$336,Dépenses!$E$6:$E$336,$Q$5,Dépenses!$J$6:$J$336,"2022",Dépenses!$I$6:$I$336,A14,Dépenses!$C$6:$C$336,$Q$4)</f>
        <v>150</v>
      </c>
      <c r="R14" s="53">
        <f>SUMIFS(Dépenses!$K$6:$K$336,Dépenses!$E$6:$E$336,$R$5,Dépenses!$J$6:$J$336,"2022",Dépenses!$I$6:$I$336,A14,Dépenses!$C$6:$C$336,$R$4)</f>
        <v>0</v>
      </c>
      <c r="S14" s="53">
        <f>SUMIFS(Dépenses!$K$6:$K$336,Dépenses!$E$6:$E$336,$S$5,Dépenses!$J$6:$J$336,"2022",Dépenses!$I$6:$I$336,A14,Dépenses!$C$6:$C$336,$R$4)</f>
        <v>0</v>
      </c>
      <c r="T14" s="53">
        <f>SUMIFS(Dépenses!$K$6:$K$336,Dépenses!$E$6:$E$336,$T$5,Dépenses!$J$6:$J$336,"2022",Dépenses!$I$6:$I$336,A14,Dépenses!$C$6:$C$336,$T$4)</f>
        <v>0</v>
      </c>
      <c r="U14" s="53">
        <f>SUMIFS(Dépenses!$K$6:$K$336,Dépenses!$E$6:$E$336,$U$5,Dépenses!$J$6:$J$336,"2022",Dépenses!$I$6:$I$336,A14,Dépenses!$C$6:$C$336,$U$4)</f>
        <v>1420</v>
      </c>
      <c r="V14" s="53">
        <f>SUMIFS(Dépenses!$K$6:$K$336,Dépenses!$E$6:$E$336,$V$5,Dépenses!$J$6:$J$336,"2022",Dépenses!$I$6:$I$336,A14,Dépenses!$C$6:$C$336,$V$4)</f>
        <v>287</v>
      </c>
      <c r="W14" s="53">
        <f>SUMIFS(Dépenses!$K$6:$K$336,Dépenses!$E$6:$E$336,$W$5,Dépenses!$J$6:$J$336,"2022",Dépenses!$I$6:$I$336,A14,Dépenses!$C$6:$C$336,$W$4)</f>
        <v>0</v>
      </c>
      <c r="X14" s="52">
        <f t="shared" si="0"/>
        <v>14685.22</v>
      </c>
    </row>
    <row r="15" spans="1:24" x14ac:dyDescent="0.35">
      <c r="A15" s="50">
        <v>9</v>
      </c>
      <c r="B15" s="62" t="s">
        <v>142</v>
      </c>
      <c r="C15" s="53">
        <f>'2022'!D166 - SUMIFS(Transfert!J12:J86,Transfert!F12:F86,"2022",Transfert!G12:G86,A15)</f>
        <v>13530</v>
      </c>
      <c r="D15" s="53">
        <f>SUMIFS(Recettes!$J$6:$J$68,Recettes!$D$6:$D$68,$D$5,Recettes!$I$6:$I$68,"2022",Recettes!$H$6:$H$68,A15)</f>
        <v>5504</v>
      </c>
      <c r="E15" s="53">
        <f>SUMIFS(Recettes!$J$6:$J$68,Recettes!$F$6:$F$68,$E$5,Recettes!$I$6:$I$68,"2022",Recettes!$H$6:$H$68,A15) + SUMIFS(Transfert!J12:J86,Transfert!I12:I86,$E$5,Transfert!F12:F86,"2022",Transfert!G12:G86,A15)</f>
        <v>3500</v>
      </c>
      <c r="F15" s="53" t="e">
        <f ca="1">SUMIFS(Recettes!$J$6:$J$68,Recettes!$F$6:$F$68,$F$5,Recettes!$I$6:$I$68,"2022",Recettes!$H$6:$H$68,A15) + SUMIFS(Transfert!K12:K83,Transfert!J12:J86,$F$5,Transfert!G12:G86,"2022",Transfert!H12:H86,A15)</f>
        <v>#VALUE!</v>
      </c>
      <c r="G15" s="52"/>
      <c r="H15" s="63" t="s">
        <v>142</v>
      </c>
      <c r="I15" s="53">
        <f>SUMIFS(Dépenses!$K$6:$K$336,Dépenses!$E$6:$E$336,$I$5,Dépenses!$J$6:$J$336,"2022",Dépenses!$I$6:$I$336,A15,Dépenses!$C$6:$C$336,$I$4)</f>
        <v>9130</v>
      </c>
      <c r="J15" s="53">
        <f>SUMIFS(Dépenses!$K$6:$K$336,Dépenses!$E$6:$E$336,$J$5,Dépenses!$J$6:$J$336,"2022",Dépenses!$I$6:$I$336,A15,Dépenses!$C$6:$C$336,$J$4)</f>
        <v>2514.3000000000002</v>
      </c>
      <c r="K15" s="53">
        <f>SUMIFS(Dépenses!$K$6:$K$336,Dépenses!$C$6:$C$336,"Primes Annuelles - Aid El Fitr",Dépenses!$J$6:$J$336,"2022",Dépenses!$I$6:$I$336,A15) + SUMIFS(Dépenses!$K$6:$K$336,Dépenses!$C$6:$C$336,"Primes Annuelles - Aid Al Adha",Dépenses!$J$6:$J$336,"2022",Dépenses!$I$6:$I$336,A15)</f>
        <v>0</v>
      </c>
      <c r="L15" s="53">
        <f>SUMIFS(Dépenses!$K$6:$K$336,Dépenses!$E$6:$E$336,$L$5,Dépenses!$J$6:$J$336,"2022",Dépenses!$I$6:$I$336,A15,Dépenses!$C$6:$C$336,$L$4)</f>
        <v>1169.5899999999999</v>
      </c>
      <c r="M15" s="53">
        <f>SUMIFS(Dépenses!$K$6:$K$336,Dépenses!$E$6:$E$336,$M$5,Dépenses!$J$6:$J$336,"2022",Dépenses!$I$6:$I$336,A15,Dépenses!$C$6:$C$336,$M$4)</f>
        <v>199</v>
      </c>
      <c r="N15" s="53">
        <f>SUMIFS(Dépenses!$K$6:$K$336,Dépenses!$E$6:$E$336,$N$5,Dépenses!$J$6:$J$336,"2022",Dépenses!$I$6:$I$336,A15,Dépenses!$C$6:$C$336,$N$4)</f>
        <v>380</v>
      </c>
      <c r="O15" s="53">
        <f>SUMIFS(Dépenses!$K$6:$K$336,Dépenses!$E$6:$E$336,$O$5,Dépenses!$J$6:$J$336,"2022",Dépenses!$I$6:$I$336,A15,Dépenses!$C$6:$C$336,$O$4)</f>
        <v>75</v>
      </c>
      <c r="P15" s="53">
        <f>SUMIFS(Dépenses!$K$6:$K$336,Dépenses!$E$6:$E$336,$P$5,Dépenses!$J$6:$J$336,"2022",Dépenses!$I$6:$I$336,A15,Dépenses!$C$6:$C$336,$P$4)</f>
        <v>0</v>
      </c>
      <c r="Q15" s="53">
        <f>SUMIFS(Dépenses!$K$6:$K$336,Dépenses!$E$6:$E$336,$Q$5,Dépenses!$J$6:$J$336,"2022",Dépenses!$I$6:$I$336,A15,Dépenses!$C$6:$C$336,$Q$4)</f>
        <v>80</v>
      </c>
      <c r="R15" s="53">
        <f>SUMIFS(Dépenses!$K$6:$K$336,Dépenses!$E$6:$E$336,$R$5,Dépenses!$J$6:$J$336,"2022",Dépenses!$I$6:$I$336,A15,Dépenses!$C$6:$C$336,$R$4)</f>
        <v>0</v>
      </c>
      <c r="S15" s="53">
        <f>SUMIFS(Dépenses!$K$6:$K$336,Dépenses!$E$6:$E$336,$S$5,Dépenses!$J$6:$J$336,"2022",Dépenses!$I$6:$I$336,A15,Dépenses!$C$6:$C$336,$R$4)</f>
        <v>0</v>
      </c>
      <c r="T15" s="53">
        <f>SUMIFS(Dépenses!$K$6:$K$336,Dépenses!$E$6:$E$336,$T$5,Dépenses!$J$6:$J$336,"2022",Dépenses!$I$6:$I$336,A15,Dépenses!$C$6:$C$336,$T$4)</f>
        <v>0</v>
      </c>
      <c r="U15" s="53">
        <f>SUMIFS(Dépenses!$K$6:$K$336,Dépenses!$E$6:$E$336,$U$5,Dépenses!$J$6:$J$336,"2022",Dépenses!$I$6:$I$336,A15,Dépenses!$C$6:$C$336,$U$4)</f>
        <v>550</v>
      </c>
      <c r="V15" s="53">
        <f>SUMIFS(Dépenses!$K$6:$K$336,Dépenses!$E$6:$E$336,$V$5,Dépenses!$J$6:$J$336,"2022",Dépenses!$I$6:$I$336,A15,Dépenses!$C$6:$C$336,$V$4)</f>
        <v>95</v>
      </c>
      <c r="W15" s="53">
        <f>SUMIFS(Dépenses!$K$6:$K$336,Dépenses!$E$6:$E$336,$W$5,Dépenses!$J$6:$J$336,"2022",Dépenses!$I$6:$I$336,A15,Dépenses!$C$6:$C$336,$W$4)</f>
        <v>0</v>
      </c>
      <c r="X15" s="52">
        <f t="shared" si="0"/>
        <v>14192.89</v>
      </c>
    </row>
    <row r="16" spans="1:24" x14ac:dyDescent="0.35">
      <c r="A16" s="50">
        <v>10</v>
      </c>
      <c r="B16" s="62" t="s">
        <v>143</v>
      </c>
      <c r="C16" s="53">
        <f>'2022'!D167 - SUMIFS(Transfert!J13:J87,Transfert!F13:F87,"2022",Transfert!G13:G87,A16)</f>
        <v>13930</v>
      </c>
      <c r="D16" s="53">
        <f>SUMIFS(Recettes!$J$6:$J$68,Recettes!$D$6:$D$68,$D$5,Recettes!$I$6:$I$68,"2022",Recettes!$H$6:$H$68,A16)</f>
        <v>452</v>
      </c>
      <c r="E16" s="53">
        <f>SUMIFS(Recettes!$J$6:$J$68,Recettes!$F$6:$F$68,$E$5,Recettes!$I$6:$I$68,"2022",Recettes!$H$6:$H$68,A16) + SUMIFS(Transfert!J13:J87,Transfert!I13:I87,$E$5,Transfert!F13:F87,"2022",Transfert!G13:G87,A16)</f>
        <v>3500</v>
      </c>
      <c r="F16" s="53" t="e">
        <f ca="1">SUMIFS(Recettes!$J$6:$J$68,Recettes!$F$6:$F$68,$F$5,Recettes!$I$6:$I$68,"2022",Recettes!$H$6:$H$68,A16) + SUMIFS(Transfert!K13:K84,Transfert!J13:J87,$F$5,Transfert!G13:G87,"2022",Transfert!H13:H87,A16)</f>
        <v>#VALUE!</v>
      </c>
      <c r="G16" s="52"/>
      <c r="H16" s="63" t="s">
        <v>143</v>
      </c>
      <c r="I16" s="53">
        <f>SUMIFS(Dépenses!$K$6:$K$336,Dépenses!$E$6:$E$336,$I$5,Dépenses!$J$6:$J$336,"2022",Dépenses!$I$6:$I$336,A16,Dépenses!$C$6:$C$336,$I$4)</f>
        <v>9130</v>
      </c>
      <c r="J16" s="53">
        <f>SUMIFS(Dépenses!$K$6:$K$336,Dépenses!$E$6:$E$336,$J$5,Dépenses!$J$6:$J$336,"2022",Dépenses!$I$6:$I$336,A16,Dépenses!$C$6:$C$336,$J$4)</f>
        <v>2514.3000000000002</v>
      </c>
      <c r="K16" s="53">
        <f>SUMIFS(Dépenses!$K$6:$K$336,Dépenses!$C$6:$C$336,"Primes Annuelles - Aid El Fitr",Dépenses!$J$6:$J$336,"2022",Dépenses!$I$6:$I$336,A16) + SUMIFS(Dépenses!$K$6:$K$336,Dépenses!$C$6:$C$336,"Primes Annuelles - Aid Al Adha",Dépenses!$J$6:$J$336,"2022",Dépenses!$I$6:$I$336,A16)</f>
        <v>0</v>
      </c>
      <c r="L16" s="53">
        <f>SUMIFS(Dépenses!$K$6:$K$336,Dépenses!$E$6:$E$336,$L$5,Dépenses!$J$6:$J$336,"2022",Dépenses!$I$6:$I$336,A16,Dépenses!$C$6:$C$336,$L$4)</f>
        <v>1244.27</v>
      </c>
      <c r="M16" s="53">
        <f>SUMIFS(Dépenses!$K$6:$K$336,Dépenses!$E$6:$E$336,$M$5,Dépenses!$J$6:$J$336,"2022",Dépenses!$I$6:$I$336,A16,Dépenses!$C$6:$C$336,$M$4)</f>
        <v>199</v>
      </c>
      <c r="N16" s="53">
        <f>SUMIFS(Dépenses!$K$6:$K$336,Dépenses!$E$6:$E$336,$N$5,Dépenses!$J$6:$J$336,"2022",Dépenses!$I$6:$I$336,A16,Dépenses!$C$6:$C$336,$N$4)</f>
        <v>180</v>
      </c>
      <c r="O16" s="53">
        <f>SUMIFS(Dépenses!$K$6:$K$336,Dépenses!$E$6:$E$336,$O$5,Dépenses!$J$6:$J$336,"2022",Dépenses!$I$6:$I$336,A16,Dépenses!$C$6:$C$336,$O$4)</f>
        <v>129</v>
      </c>
      <c r="P16" s="53">
        <f>SUMIFS(Dépenses!$K$6:$K$336,Dépenses!$E$6:$E$336,$P$5,Dépenses!$J$6:$J$336,"2022",Dépenses!$I$6:$I$336,A16,Dépenses!$C$6:$C$336,$P$4)</f>
        <v>0</v>
      </c>
      <c r="Q16" s="53">
        <f>SUMIFS(Dépenses!$K$6:$K$336,Dépenses!$E$6:$E$336,$Q$5,Dépenses!$J$6:$J$336,"2022",Dépenses!$I$6:$I$336,A16,Dépenses!$C$6:$C$336,$Q$4)</f>
        <v>0</v>
      </c>
      <c r="R16" s="53">
        <f>SUMIFS(Dépenses!$K$6:$K$336,Dépenses!$E$6:$E$336,$R$5,Dépenses!$J$6:$J$336,"2022",Dépenses!$I$6:$I$336,A16,Dépenses!$C$6:$C$336,$R$4)</f>
        <v>300</v>
      </c>
      <c r="S16" s="53">
        <f>SUMIFS(Dépenses!$K$6:$K$336,Dépenses!$E$6:$E$336,$S$5,Dépenses!$J$6:$J$336,"2022",Dépenses!$I$6:$I$336,A16,Dépenses!$C$6:$C$336,$R$4)</f>
        <v>21960</v>
      </c>
      <c r="T16" s="53">
        <f>SUMIFS(Dépenses!$K$6:$K$336,Dépenses!$E$6:$E$336,$T$5,Dépenses!$J$6:$J$336,"2022",Dépenses!$I$6:$I$336,A16,Dépenses!$C$6:$C$336,$T$4)</f>
        <v>200</v>
      </c>
      <c r="U16" s="53">
        <f>SUMIFS(Dépenses!$K$6:$K$336,Dépenses!$E$6:$E$336,$U$5,Dépenses!$J$6:$J$336,"2022",Dépenses!$I$6:$I$336,A16,Dépenses!$C$6:$C$336,$U$4)</f>
        <v>400</v>
      </c>
      <c r="V16" s="53">
        <f>SUMIFS(Dépenses!$K$6:$K$336,Dépenses!$E$6:$E$336,$V$5,Dépenses!$J$6:$J$336,"2022",Dépenses!$I$6:$I$336,A16,Dépenses!$C$6:$C$336,$V$4)</f>
        <v>95</v>
      </c>
      <c r="W16" s="53">
        <f>SUMIFS(Dépenses!$K$6:$K$336,Dépenses!$E$6:$E$336,$W$5,Dépenses!$J$6:$J$336,"2022",Dépenses!$I$6:$I$336,A16,Dépenses!$C$6:$C$336,$W$4)</f>
        <v>0</v>
      </c>
      <c r="X16" s="52">
        <f t="shared" si="0"/>
        <v>36351.57</v>
      </c>
    </row>
    <row r="17" spans="1:24" x14ac:dyDescent="0.35">
      <c r="A17" s="50">
        <v>11</v>
      </c>
      <c r="B17" s="62" t="s">
        <v>144</v>
      </c>
      <c r="C17" s="53">
        <f>'2022'!D168 - SUMIFS(Transfert!J14:J88,Transfert!F14:F88,"2022",Transfert!G14:G88,A17)</f>
        <v>10900</v>
      </c>
      <c r="D17" s="53">
        <f>SUMIFS(Recettes!$J$6:$J$68,Recettes!$D$6:$D$68,$D$5,Recettes!$I$6:$I$68,"2022",Recettes!$H$6:$H$68,A17)</f>
        <v>368</v>
      </c>
      <c r="E17" s="53">
        <f>SUMIFS(Recettes!$J$6:$J$68,Recettes!$F$6:$F$68,$E$5,Recettes!$I$6:$I$68,"2022",Recettes!$H$6:$H$68,A17) + SUMIFS(Transfert!J14:J88,Transfert!I14:I88,$E$5,Transfert!F14:F88,"2022",Transfert!G14:G88,A17)</f>
        <v>3500</v>
      </c>
      <c r="F17" s="53" t="e">
        <f ca="1">SUMIFS(Recettes!$J$6:$J$68,Recettes!$F$6:$F$68,$F$5,Recettes!$I$6:$I$68,"2022",Recettes!$H$6:$H$68,A17) + SUMIFS(Transfert!K14:K85,Transfert!J14:J88,$F$5,Transfert!G14:G88,"2022",Transfert!H14:H88,A17)</f>
        <v>#VALUE!</v>
      </c>
      <c r="G17" s="52"/>
      <c r="H17" s="63" t="s">
        <v>144</v>
      </c>
      <c r="I17" s="53">
        <f>SUMIFS(Dépenses!$K$6:$K$336,Dépenses!$E$6:$E$336,$I$5,Dépenses!$J$6:$J$336,"2022",Dépenses!$I$6:$I$336,A17,Dépenses!$C$6:$C$336,$I$4)</f>
        <v>9130</v>
      </c>
      <c r="J17" s="53">
        <f>SUMIFS(Dépenses!$K$6:$K$336,Dépenses!$E$6:$E$336,$J$5,Dépenses!$J$6:$J$336,"2022",Dépenses!$I$6:$I$336,A17,Dépenses!$C$6:$C$336,$J$4)</f>
        <v>2640.01</v>
      </c>
      <c r="K17" s="53">
        <f>SUMIFS(Dépenses!$K$6:$K$336,Dépenses!$C$6:$C$336,"Primes Annuelles - Aid El Fitr",Dépenses!$J$6:$J$336,"2022",Dépenses!$I$6:$I$336,A17) + SUMIFS(Dépenses!$K$6:$K$336,Dépenses!$C$6:$C$336,"Primes Annuelles - Aid Al Adha",Dépenses!$J$6:$J$336,"2022",Dépenses!$I$6:$I$336,A17)</f>
        <v>0</v>
      </c>
      <c r="L17" s="53">
        <f>SUMIFS(Dépenses!$K$6:$K$336,Dépenses!$E$6:$E$336,$L$5,Dépenses!$J$6:$J$336,"2022",Dépenses!$I$6:$I$336,A17,Dépenses!$C$6:$C$336,$L$4)</f>
        <v>950.98</v>
      </c>
      <c r="M17" s="53">
        <f>SUMIFS(Dépenses!$K$6:$K$336,Dépenses!$E$6:$E$336,$M$5,Dépenses!$J$6:$J$336,"2022",Dépenses!$I$6:$I$336,A17,Dépenses!$C$6:$C$336,$M$4)</f>
        <v>199</v>
      </c>
      <c r="N17" s="53">
        <f>SUMIFS(Dépenses!$K$6:$K$336,Dépenses!$E$6:$E$336,$N$5,Dépenses!$J$6:$J$336,"2022",Dépenses!$I$6:$I$336,A17,Dépenses!$C$6:$C$336,$N$4)</f>
        <v>0</v>
      </c>
      <c r="O17" s="53">
        <f>SUMIFS(Dépenses!$K$6:$K$336,Dépenses!$E$6:$E$336,$O$5,Dépenses!$J$6:$J$336,"2022",Dépenses!$I$6:$I$336,A17,Dépenses!$C$6:$C$336,$O$4)</f>
        <v>80</v>
      </c>
      <c r="P17" s="53">
        <f>SUMIFS(Dépenses!$K$6:$K$336,Dépenses!$E$6:$E$336,$P$5,Dépenses!$J$6:$J$336,"2022",Dépenses!$I$6:$I$336,A17,Dépenses!$C$6:$C$336,$P$4)</f>
        <v>0</v>
      </c>
      <c r="Q17" s="53">
        <f>SUMIFS(Dépenses!$K$6:$K$336,Dépenses!$E$6:$E$336,$Q$5,Dépenses!$J$6:$J$336,"2022",Dépenses!$I$6:$I$336,A17,Dépenses!$C$6:$C$336,$Q$4)</f>
        <v>0</v>
      </c>
      <c r="R17" s="53">
        <f>SUMIFS(Dépenses!$K$6:$K$336,Dépenses!$E$6:$E$336,$R$5,Dépenses!$J$6:$J$336,"2022",Dépenses!$I$6:$I$336,A17,Dépenses!$C$6:$C$336,$R$4)</f>
        <v>0</v>
      </c>
      <c r="S17" s="53">
        <f>SUMIFS(Dépenses!$K$6:$K$336,Dépenses!$E$6:$E$336,$S$5,Dépenses!$J$6:$J$336,"2022",Dépenses!$I$6:$I$336,A17,Dépenses!$C$6:$C$336,$R$4)</f>
        <v>0</v>
      </c>
      <c r="T17" s="53">
        <f>SUMIFS(Dépenses!$K$6:$K$336,Dépenses!$E$6:$E$336,$T$5,Dépenses!$J$6:$J$336,"2022",Dépenses!$I$6:$I$336,A17,Dépenses!$C$6:$C$336,$T$4)</f>
        <v>0</v>
      </c>
      <c r="U17" s="53">
        <f>SUMIFS(Dépenses!$K$6:$K$336,Dépenses!$E$6:$E$336,$U$5,Dépenses!$J$6:$J$336,"2022",Dépenses!$I$6:$I$336,A17,Dépenses!$C$6:$C$336,$U$4)</f>
        <v>0</v>
      </c>
      <c r="V17" s="53">
        <f>SUMIFS(Dépenses!$K$6:$K$336,Dépenses!$E$6:$E$336,$V$5,Dépenses!$J$6:$J$336,"2022",Dépenses!$I$6:$I$336,A17,Dépenses!$C$6:$C$336,$V$4)</f>
        <v>95</v>
      </c>
      <c r="W17" s="53">
        <f>SUMIFS(Dépenses!$K$6:$K$336,Dépenses!$E$6:$E$336,$W$5,Dépenses!$J$6:$J$336,"2022",Dépenses!$I$6:$I$336,A17,Dépenses!$C$6:$C$336,$W$4)</f>
        <v>0</v>
      </c>
      <c r="X17" s="52">
        <f t="shared" si="0"/>
        <v>13094.99</v>
      </c>
    </row>
    <row r="18" spans="1:24" x14ac:dyDescent="0.35">
      <c r="A18" s="50">
        <v>12</v>
      </c>
      <c r="B18" s="62" t="s">
        <v>145</v>
      </c>
      <c r="C18" s="53">
        <f>'2022'!D169 - SUMIFS(Transfert!J15:J89,Transfert!F15:F89,"2022",Transfert!G15:G89,A18)</f>
        <v>17629</v>
      </c>
      <c r="D18" s="53">
        <f>SUMIFS(Recettes!$J$6:$J$68,Recettes!$D$6:$D$68,$D$5,Recettes!$I$6:$I$68,"2022",Recettes!$H$6:$H$68,A18)</f>
        <v>2274</v>
      </c>
      <c r="E18" s="53">
        <f>SUMIFS(Recettes!$J$6:$J$68,Recettes!$F$6:$F$68,$E$5,Recettes!$I$6:$I$68,"2022",Recettes!$H$6:$H$68,A18) + SUMIFS(Transfert!J15:J89,Transfert!I15:I89,$E$5,Transfert!F15:F89,"2022",Transfert!G15:G89,A18)</f>
        <v>3500</v>
      </c>
      <c r="F18" s="53" t="e">
        <f ca="1">SUMIFS(Recettes!$J$6:$J$68,Recettes!$F$6:$F$68,$F$5,Recettes!$I$6:$I$68,"2022",Recettes!$H$6:$H$68,A18) + SUMIFS(Transfert!K15:K86,Transfert!J15:J89,$F$5,Transfert!G15:G89,"2022",Transfert!H15:H89,A18)</f>
        <v>#VALUE!</v>
      </c>
      <c r="G18" s="52"/>
      <c r="H18" s="63" t="s">
        <v>145</v>
      </c>
      <c r="I18" s="53">
        <f>SUMIFS(Dépenses!$K$6:$K$336,Dépenses!$E$6:$E$336,$I$5,Dépenses!$J$6:$J$336,"2022",Dépenses!$I$6:$I$336,A18,Dépenses!$C$6:$C$336,$I$4)</f>
        <v>9130</v>
      </c>
      <c r="J18" s="53">
        <f>SUMIFS(Dépenses!$K$6:$K$336,Dépenses!$E$6:$E$336,$J$5,Dépenses!$J$6:$J$336,"2022",Dépenses!$I$6:$I$336,A18,Dépenses!$C$6:$C$336,$J$4)</f>
        <v>2640.01</v>
      </c>
      <c r="K18" s="53">
        <f>SUMIFS(Dépenses!$K$6:$K$336,Dépenses!$C$6:$C$336,"Primes Annuelles - Aid El Fitr",Dépenses!$J$6:$J$336,"2022",Dépenses!$I$6:$I$336,A18) + SUMIFS(Dépenses!$K$6:$K$336,Dépenses!$C$6:$C$336,"Primes Annuelles - Aid Al Adha",Dépenses!$J$6:$J$336,"2022",Dépenses!$I$6:$I$336,A18)</f>
        <v>0</v>
      </c>
      <c r="L18" s="53">
        <f>SUMIFS(Dépenses!$K$6:$K$336,Dépenses!$E$6:$E$336,$L$5,Dépenses!$J$6:$J$336,"2022",Dépenses!$I$6:$I$336,A18,Dépenses!$C$6:$C$336,$L$4)</f>
        <v>891.4</v>
      </c>
      <c r="M18" s="53">
        <f>SUMIFS(Dépenses!$K$6:$K$336,Dépenses!$E$6:$E$336,$M$5,Dépenses!$J$6:$J$336,"2022",Dépenses!$I$6:$I$336,A18,Dépenses!$C$6:$C$336,$M$4)</f>
        <v>199</v>
      </c>
      <c r="N18" s="53">
        <f>SUMIFS(Dépenses!$K$6:$K$336,Dépenses!$E$6:$E$336,$N$5,Dépenses!$J$6:$J$336,"2022",Dépenses!$I$6:$I$336,A18,Dépenses!$C$6:$C$336,$N$4)</f>
        <v>250</v>
      </c>
      <c r="O18" s="53">
        <f>SUMIFS(Dépenses!$K$6:$K$336,Dépenses!$E$6:$E$336,$O$5,Dépenses!$J$6:$J$336,"2022",Dépenses!$I$6:$I$336,A18,Dépenses!$C$6:$C$336,$O$4)</f>
        <v>0</v>
      </c>
      <c r="P18" s="53">
        <f>SUMIFS(Dépenses!$K$6:$K$336,Dépenses!$E$6:$E$336,$P$5,Dépenses!$J$6:$J$336,"2022",Dépenses!$I$6:$I$336,A18,Dépenses!$C$6:$C$336,$P$4)</f>
        <v>0</v>
      </c>
      <c r="Q18" s="53">
        <f>SUMIFS(Dépenses!$K$6:$K$336,Dépenses!$E$6:$E$336,$Q$5,Dépenses!$J$6:$J$336,"2022",Dépenses!$I$6:$I$336,A18,Dépenses!$C$6:$C$336,$Q$4)</f>
        <v>0</v>
      </c>
      <c r="R18" s="53">
        <f>SUMIFS(Dépenses!$K$6:$K$336,Dépenses!$E$6:$E$336,$R$5,Dépenses!$J$6:$J$336,"2022",Dépenses!$I$6:$I$336,A18,Dépenses!$C$6:$C$336,$R$4)</f>
        <v>0</v>
      </c>
      <c r="S18" s="53">
        <f>SUMIFS(Dépenses!$K$6:$K$336,Dépenses!$E$6:$E$336,$S$5,Dépenses!$J$6:$J$336,"2022",Dépenses!$I$6:$I$336,A18,Dépenses!$C$6:$C$336,$R$4)</f>
        <v>0</v>
      </c>
      <c r="T18" s="53">
        <f>SUMIFS(Dépenses!$K$6:$K$336,Dépenses!$E$6:$E$336,$T$5,Dépenses!$J$6:$J$336,"2022",Dépenses!$I$6:$I$336,A18,Dépenses!$C$6:$C$336,$T$4)</f>
        <v>0</v>
      </c>
      <c r="U18" s="53">
        <f>SUMIFS(Dépenses!$K$6:$K$336,Dépenses!$E$6:$E$336,$U$5,Dépenses!$J$6:$J$336,"2022",Dépenses!$I$6:$I$336,A18,Dépenses!$C$6:$C$336,$U$4)</f>
        <v>800</v>
      </c>
      <c r="V18" s="53">
        <f>SUMIFS(Dépenses!$K$6:$K$336,Dépenses!$E$6:$E$336,$V$5,Dépenses!$J$6:$J$336,"2022",Dépenses!$I$6:$I$336,A18,Dépenses!$C$6:$C$336,$V$4)</f>
        <v>95</v>
      </c>
      <c r="W18" s="53">
        <f>SUMIFS(Dépenses!$K$6:$K$336,Dépenses!$E$6:$E$336,$W$5,Dépenses!$J$6:$J$336,"2022",Dépenses!$I$6:$I$336,A18,Dépenses!$C$6:$C$336,$W$4)</f>
        <v>0</v>
      </c>
      <c r="X18" s="52">
        <f t="shared" si="0"/>
        <v>14005.41</v>
      </c>
    </row>
    <row r="19" spans="1:24" x14ac:dyDescent="0.35">
      <c r="B19" s="63" t="s">
        <v>146</v>
      </c>
      <c r="C19" s="64">
        <f>SUM(C7:C18)</f>
        <v>157919</v>
      </c>
      <c r="D19" s="64">
        <f>SUM(D7:D18)</f>
        <v>22837</v>
      </c>
      <c r="E19" s="64">
        <f t="shared" ref="E19:F19" si="1">SUM(E7:E18)</f>
        <v>65280</v>
      </c>
      <c r="F19" s="64" t="e">
        <f t="shared" ca="1" si="1"/>
        <v>#VALUE!</v>
      </c>
      <c r="G19" s="64" t="e">
        <f ca="1">+D19+#REF!+#REF!+F19</f>
        <v>#REF!</v>
      </c>
      <c r="H19" s="63" t="s">
        <v>146</v>
      </c>
      <c r="I19" s="84">
        <f>SUM(I7:I18)</f>
        <v>107150</v>
      </c>
      <c r="J19" s="84">
        <f t="shared" ref="J19:W19" si="2">SUM(J7:J18)</f>
        <v>27280.14</v>
      </c>
      <c r="K19" s="84">
        <f t="shared" si="2"/>
        <v>4700</v>
      </c>
      <c r="L19" s="84">
        <f t="shared" si="2"/>
        <v>12287.749999999998</v>
      </c>
      <c r="M19" s="84">
        <f t="shared" si="2"/>
        <v>2388</v>
      </c>
      <c r="N19" s="84">
        <f t="shared" si="2"/>
        <v>2154</v>
      </c>
      <c r="O19" s="84">
        <f t="shared" si="2"/>
        <v>1076</v>
      </c>
      <c r="P19" s="84">
        <f t="shared" si="2"/>
        <v>1000</v>
      </c>
      <c r="Q19" s="84">
        <f t="shared" si="2"/>
        <v>280</v>
      </c>
      <c r="R19" s="84">
        <f t="shared" si="2"/>
        <v>300</v>
      </c>
      <c r="S19" s="84">
        <f t="shared" si="2"/>
        <v>21960</v>
      </c>
      <c r="T19" s="84">
        <f t="shared" si="2"/>
        <v>200</v>
      </c>
      <c r="U19" s="84">
        <f t="shared" si="2"/>
        <v>6635</v>
      </c>
      <c r="V19" s="84">
        <f t="shared" si="2"/>
        <v>1584</v>
      </c>
      <c r="W19" s="84">
        <f t="shared" si="2"/>
        <v>32804</v>
      </c>
      <c r="X19" s="82">
        <f>SUM(I19:W19)</f>
        <v>221798.89</v>
      </c>
    </row>
    <row r="20" spans="1:24" ht="18.75" thickBot="1" x14ac:dyDescent="0.4">
      <c r="B20" s="65" t="s">
        <v>147</v>
      </c>
      <c r="C20" s="66"/>
      <c r="D20" s="66"/>
      <c r="E20" s="66"/>
      <c r="F20" s="67"/>
      <c r="G20" s="86" t="e">
        <f ca="1">+G6+G19</f>
        <v>#REF!</v>
      </c>
      <c r="H20" s="115"/>
      <c r="I20" s="116"/>
      <c r="J20" s="116"/>
      <c r="K20" s="116"/>
      <c r="L20" s="116"/>
      <c r="M20" s="116"/>
      <c r="N20" s="123"/>
      <c r="O20" s="68"/>
      <c r="P20" s="68"/>
      <c r="Q20" s="68"/>
      <c r="R20" s="68"/>
      <c r="S20" s="68"/>
      <c r="T20" s="68"/>
      <c r="U20" s="68"/>
      <c r="V20" s="68"/>
      <c r="W20" s="68"/>
      <c r="X20" s="83">
        <f>+X6+X19</f>
        <v>221798.89</v>
      </c>
    </row>
    <row r="21" spans="1:24" ht="18.75" thickBot="1" x14ac:dyDescent="0.4">
      <c r="B21" s="69" t="s">
        <v>148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58" t="e">
        <f ca="1">+G20-X20</f>
        <v>#REF!</v>
      </c>
    </row>
    <row r="26" spans="1:24" x14ac:dyDescent="0.35">
      <c r="G26" s="71"/>
    </row>
  </sheetData>
  <mergeCells count="8">
    <mergeCell ref="B6:F6"/>
    <mergeCell ref="H20:N20"/>
    <mergeCell ref="B1:X1"/>
    <mergeCell ref="B3:G3"/>
    <mergeCell ref="H3:W3"/>
    <mergeCell ref="C4:D4"/>
    <mergeCell ref="E4:F4"/>
    <mergeCell ref="R4:S4"/>
  </mergeCells>
  <dataValidations count="1">
    <dataValidation type="list" allowBlank="1" showInputMessage="1" showErrorMessage="1" sqref="V4" xr:uid="{76D674E7-4340-4A54-BBEA-85C15E5E8B58}">
      <formula1>INDIRECT(SUBSTITUTE(SUBSTITUTE(U4,"&amp;","_")," ","_"))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2022</vt:lpstr>
      <vt:lpstr>Transfert</vt:lpstr>
      <vt:lpstr>2023</vt:lpstr>
      <vt:lpstr>Recettes</vt:lpstr>
      <vt:lpstr>Dépenses</vt:lpstr>
      <vt:lpstr>Récap 2022</vt:lpstr>
      <vt:lpstr>Config</vt:lpstr>
      <vt:lpstr>Récap 2022 (2)</vt:lpstr>
      <vt:lpstr>Dépenses_Courantes</vt:lpstr>
      <vt:lpstr>Entretien_Espaces_Verts</vt:lpstr>
      <vt:lpstr>Journal_Types</vt:lpstr>
      <vt:lpstr>'Récap 2022 (2)'!ModesRecette</vt:lpstr>
      <vt:lpstr>ModesRecette</vt:lpstr>
      <vt:lpstr>Paie___Primes___CNSS</vt:lpstr>
      <vt:lpstr>Téléphonie___Electricité</vt:lpstr>
      <vt:lpstr>Transfert</vt:lpstr>
      <vt:lpstr>Travaux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Syndic Intellak II</dc:creator>
  <cp:lastModifiedBy>Ferhat, Khalil</cp:lastModifiedBy>
  <cp:lastPrinted>2023-08-07T20:22:10Z</cp:lastPrinted>
  <dcterms:created xsi:type="dcterms:W3CDTF">2023-02-27T12:28:54Z</dcterms:created>
  <dcterms:modified xsi:type="dcterms:W3CDTF">2026-03-05T11:29:53Z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2026-03-05T11:27:41Z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1c2512ec-ddcb-44bf-bf63-b53285f35bcc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